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elt\Projects\CheckMate-Vite\public\"/>
    </mc:Choice>
  </mc:AlternateContent>
  <xr:revisionPtr revIDLastSave="0" documentId="13_ncr:1_{3EA484AB-118A-4BDB-9B3B-D9F4221E147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racking Log" sheetId="1" r:id="rId1"/>
    <sheet name="Attorney" sheetId="3" r:id="rId2"/>
    <sheet name="Misc Income Non Homeowner" sheetId="4" r:id="rId3"/>
    <sheet name="Misc Income Homeowner" sheetId="5" r:id="rId4"/>
    <sheet name="HO LockBox" sheetId="6" r:id="rId5"/>
    <sheet name="Standard Charge Types" sheetId="7" state="hidden" r:id="rId6"/>
    <sheet name="Config" sheetId="2" state="veryHidden" r:id="rId7"/>
  </sheets>
  <definedNames>
    <definedName name="_xlnm._FilterDatabase" localSheetId="5" hidden="1">'Standard Charge Types'!$A$1:$F$1021</definedName>
    <definedName name="account">'Tracking Log'!#REF!</definedName>
    <definedName name="address">'Tracking Log'!#REF!</definedName>
    <definedName name="Charge_Types" comment="Standard Charge Types">#REF!</definedName>
    <definedName name="chargetypes" localSheetId="1">#REF!</definedName>
    <definedName name="chargetypes" localSheetId="4">#REF!</definedName>
    <definedName name="chargetypes" localSheetId="3">#REF!</definedName>
    <definedName name="chargetypes" localSheetId="2">#REF!</definedName>
    <definedName name="chargetypes" localSheetId="5">#REF!</definedName>
    <definedName name="chargetypes">#REF!</definedName>
    <definedName name="department">#REF!</definedName>
    <definedName name="_xlnm.Print_Area" localSheetId="1">Attorney!$B$1:$H$44</definedName>
    <definedName name="_xlnm.Print_Area" localSheetId="4">'HO LockBox'!$B$1:$H$19</definedName>
    <definedName name="_xlnm.Print_Area" localSheetId="3">'Misc Income Homeowner'!$B$1:$I$44</definedName>
    <definedName name="_xlnm.Print_Area" localSheetId="2">'Misc Income Non Homeowner'!$B$1:$H$44</definedName>
    <definedName name="_xlnm.Print_Area" localSheetId="0">'Tracking Log'!$A$2:$J$15</definedName>
    <definedName name="Type">Config!$A$2:$A$2</definedName>
    <definedName name="type2">'Tracking Log'!#REF!</definedName>
    <definedName name="Unique">Config!$A$2:INDEX(Config!$A$2:$A$100,(1/IFERROR(1/SUM(IF(Config!$A$2:$A$100&lt;&gt;"",1,0)),1)))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  <c r="A3" i="2" l="1" a="1"/>
  <c r="A3" i="2" s="1"/>
  <c r="A4" i="2" l="1" a="1"/>
  <c r="A4" i="2" s="1"/>
  <c r="A5" i="2" l="1" a="1"/>
  <c r="A5" i="2" s="1"/>
  <c r="A6" i="2" l="1" a="1"/>
  <c r="A6" i="2" s="1"/>
  <c r="A7" i="2" l="1" a="1"/>
  <c r="A7" i="2" s="1"/>
  <c r="A8" i="2" s="1" a="1"/>
  <c r="A8" i="2" s="1"/>
  <c r="A9" i="2" s="1" a="1"/>
  <c r="A9" i="2" s="1"/>
  <c r="A10" i="2" s="1" a="1"/>
  <c r="A10" i="2" s="1"/>
  <c r="A11" i="2" s="1" a="1"/>
  <c r="A11" i="2" s="1"/>
  <c r="A12" i="2" s="1" a="1"/>
  <c r="A12" i="2" s="1"/>
  <c r="A13" i="2" s="1" a="1"/>
  <c r="A13" i="2" s="1"/>
  <c r="A14" i="2" s="1" a="1"/>
  <c r="A14" i="2" s="1"/>
  <c r="A15" i="2" s="1" a="1"/>
  <c r="A15" i="2" s="1"/>
  <c r="A16" i="2" s="1" a="1"/>
  <c r="A16" i="2" s="1"/>
  <c r="A17" i="2" s="1" a="1"/>
  <c r="A17" i="2" s="1"/>
  <c r="A18" i="2" s="1" a="1"/>
  <c r="A18" i="2" s="1"/>
  <c r="A19" i="2" s="1" a="1"/>
  <c r="A19" i="2" s="1"/>
  <c r="A20" i="2" s="1" a="1"/>
  <c r="A20" i="2" s="1"/>
  <c r="A21" i="2" s="1" a="1"/>
  <c r="A21" i="2" s="1"/>
  <c r="A22" i="2" s="1" a="1"/>
  <c r="A22" i="2" s="1"/>
  <c r="A23" i="2" s="1" a="1"/>
  <c r="A23" i="2" s="1"/>
  <c r="A24" i="2" s="1" a="1"/>
  <c r="A24" i="2" s="1"/>
  <c r="A25" i="2" s="1" a="1"/>
  <c r="A25" i="2" s="1"/>
  <c r="A26" i="2" s="1" a="1"/>
  <c r="A26" i="2" s="1"/>
  <c r="A27" i="2" s="1" a="1"/>
  <c r="A27" i="2" s="1"/>
  <c r="A28" i="2" s="1" a="1"/>
  <c r="A28" i="2" s="1"/>
  <c r="A29" i="2" s="1" a="1"/>
  <c r="A29" i="2" s="1"/>
  <c r="A30" i="2" s="1" a="1"/>
  <c r="A30" i="2" s="1"/>
  <c r="A31" i="2" s="1" a="1"/>
  <c r="A31" i="2" s="1"/>
  <c r="A32" i="2" s="1" a="1"/>
  <c r="A32" i="2" s="1"/>
  <c r="A33" i="2" s="1" a="1"/>
  <c r="A33" i="2" s="1"/>
  <c r="A34" i="2" s="1" a="1"/>
  <c r="A34" i="2" s="1"/>
  <c r="A35" i="2" s="1" a="1"/>
  <c r="A35" i="2" s="1"/>
  <c r="A36" i="2" s="1" a="1"/>
  <c r="A36" i="2" s="1"/>
  <c r="A37" i="2" s="1" a="1"/>
  <c r="A37" i="2" s="1"/>
  <c r="A38" i="2" s="1" a="1"/>
  <c r="A38" i="2" s="1"/>
  <c r="A39" i="2" s="1" a="1"/>
  <c r="A39" i="2" s="1"/>
  <c r="A40" i="2" s="1" a="1"/>
  <c r="A40" i="2" s="1"/>
  <c r="A41" i="2" s="1" a="1"/>
  <c r="A41" i="2" s="1"/>
  <c r="A42" i="2" s="1" a="1"/>
  <c r="A42" i="2" s="1"/>
  <c r="A43" i="2" s="1" a="1"/>
  <c r="A43" i="2" s="1"/>
  <c r="A44" i="2" s="1" a="1"/>
  <c r="A44" i="2" s="1"/>
  <c r="A45" i="2" s="1" a="1"/>
  <c r="A45" i="2" s="1"/>
  <c r="A46" i="2" s="1" a="1"/>
  <c r="A46" i="2" s="1"/>
  <c r="A47" i="2" s="1" a="1"/>
  <c r="A47" i="2" s="1"/>
  <c r="A48" i="2" s="1" a="1"/>
  <c r="A48" i="2" s="1"/>
  <c r="A49" i="2" s="1" a="1"/>
  <c r="A49" i="2" s="1"/>
  <c r="A50" i="2" s="1" a="1"/>
  <c r="A50" i="2" s="1"/>
  <c r="A51" i="2" s="1" a="1"/>
  <c r="A51" i="2" s="1"/>
  <c r="A52" i="2" s="1" a="1"/>
  <c r="A52" i="2" s="1"/>
  <c r="A53" i="2" s="1" a="1"/>
  <c r="A53" i="2" s="1"/>
  <c r="A54" i="2" s="1" a="1"/>
  <c r="A54" i="2" s="1"/>
  <c r="A55" i="2" s="1" a="1"/>
  <c r="A55" i="2" s="1"/>
  <c r="A56" i="2" s="1" a="1"/>
  <c r="A56" i="2" s="1"/>
  <c r="A57" i="2" s="1" a="1"/>
  <c r="A57" i="2" s="1"/>
  <c r="A58" i="2" s="1" a="1"/>
  <c r="A58" i="2" s="1"/>
  <c r="A59" i="2" s="1" a="1"/>
  <c r="A59" i="2" s="1"/>
  <c r="A60" i="2" s="1" a="1"/>
  <c r="A60" i="2" s="1"/>
  <c r="A61" i="2" s="1" a="1"/>
  <c r="A61" i="2" s="1"/>
  <c r="A62" i="2" s="1" a="1"/>
  <c r="A62" i="2" s="1"/>
  <c r="A63" i="2" s="1" a="1"/>
  <c r="A63" i="2" s="1"/>
  <c r="A64" i="2" s="1" a="1"/>
  <c r="A64" i="2" s="1"/>
  <c r="A65" i="2" s="1" a="1"/>
  <c r="A65" i="2" s="1"/>
  <c r="A66" i="2" s="1" a="1"/>
  <c r="A66" i="2" s="1"/>
  <c r="A67" i="2" s="1" a="1"/>
  <c r="A67" i="2" s="1"/>
  <c r="A68" i="2" s="1" a="1"/>
  <c r="A68" i="2" s="1"/>
  <c r="A69" i="2" s="1" a="1"/>
  <c r="A69" i="2" s="1"/>
  <c r="A70" i="2" s="1" a="1"/>
  <c r="A70" i="2" s="1"/>
  <c r="A71" i="2" s="1" a="1"/>
  <c r="A71" i="2" s="1"/>
  <c r="A72" i="2" s="1" a="1"/>
  <c r="A72" i="2" s="1"/>
  <c r="A73" i="2" s="1" a="1"/>
  <c r="A73" i="2" s="1"/>
  <c r="A74" i="2" s="1" a="1"/>
  <c r="A74" i="2" s="1"/>
  <c r="A75" i="2" s="1" a="1"/>
  <c r="A75" i="2" s="1"/>
  <c r="A76" i="2" s="1" a="1"/>
  <c r="A76" i="2" s="1"/>
  <c r="A77" i="2" s="1" a="1"/>
  <c r="A77" i="2" s="1"/>
  <c r="A78" i="2" s="1" a="1"/>
  <c r="A78" i="2" s="1"/>
  <c r="A79" i="2" s="1" a="1"/>
  <c r="A79" i="2" s="1"/>
  <c r="A80" i="2" s="1" a="1"/>
  <c r="A80" i="2" s="1"/>
  <c r="A81" i="2" s="1" a="1"/>
  <c r="A81" i="2" s="1"/>
  <c r="A82" i="2" s="1" a="1"/>
  <c r="A82" i="2" s="1"/>
  <c r="A83" i="2" s="1" a="1"/>
  <c r="A83" i="2" s="1"/>
  <c r="A84" i="2" s="1" a="1"/>
  <c r="A84" i="2" s="1"/>
  <c r="A85" i="2" s="1" a="1"/>
  <c r="A85" i="2" s="1"/>
  <c r="A86" i="2" s="1" a="1"/>
  <c r="A86" i="2" s="1"/>
  <c r="A87" i="2" s="1" a="1"/>
  <c r="A87" i="2" s="1"/>
  <c r="A88" i="2" s="1" a="1"/>
  <c r="A88" i="2" s="1"/>
  <c r="A89" i="2" s="1" a="1"/>
  <c r="A89" i="2" s="1"/>
  <c r="A90" i="2" s="1" a="1"/>
  <c r="A90" i="2" s="1"/>
  <c r="A91" i="2" s="1" a="1"/>
  <c r="A91" i="2" s="1"/>
  <c r="A92" i="2" s="1" a="1"/>
  <c r="A92" i="2" s="1"/>
  <c r="A93" i="2" s="1" a="1"/>
  <c r="A93" i="2" s="1"/>
  <c r="A94" i="2" s="1" a="1"/>
  <c r="A94" i="2" s="1"/>
  <c r="A95" i="2" s="1" a="1"/>
  <c r="A95" i="2" s="1"/>
  <c r="A96" i="2" s="1" a="1"/>
  <c r="A96" i="2" s="1"/>
  <c r="A97" i="2" s="1" a="1"/>
  <c r="A97" i="2" s="1"/>
  <c r="A98" i="2" s="1" a="1"/>
  <c r="A98" i="2" s="1"/>
  <c r="A99" i="2" s="1" a="1"/>
  <c r="A99" i="2" s="1"/>
  <c r="A100" i="2" s="1" a="1"/>
  <c r="A10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<sst xmlns="http://schemas.openxmlformats.org/spreadsheetml/2006/main" count="888" uniqueCount="447">
  <si>
    <t>Branch Information</t>
  </si>
  <si>
    <t>FOR CSSC USE ONLY</t>
  </si>
  <si>
    <t>Branch Name:</t>
  </si>
  <si>
    <t>Completed By:</t>
  </si>
  <si>
    <t>Contact Phone:</t>
  </si>
  <si>
    <t>Date Completed:</t>
  </si>
  <si>
    <t>Contact Email:</t>
  </si>
  <si>
    <t>Date Received:</t>
  </si>
  <si>
    <t>Received  By:</t>
  </si>
  <si>
    <t>Tracking Number</t>
  </si>
  <si>
    <t>Description of Document sent</t>
  </si>
  <si>
    <t>Property Address</t>
  </si>
  <si>
    <t>C3 Account #</t>
  </si>
  <si>
    <t>Signature of person completing:</t>
  </si>
  <si>
    <t>Document Tracking Log to CSSC</t>
  </si>
  <si>
    <t>Association Name(s)</t>
  </si>
  <si>
    <t>Check # or # of checks
(if applicable)</t>
  </si>
  <si>
    <t>Total Amount of Checks 
(if applicable)</t>
  </si>
  <si>
    <t>Type</t>
  </si>
  <si>
    <t>Submit to:</t>
  </si>
  <si>
    <t>c/o AR Department</t>
  </si>
  <si>
    <t>1225 Alma Road, Suite 100</t>
  </si>
  <si>
    <t>Richardson, TX 75081</t>
  </si>
  <si>
    <t>CSSC Check Submission Log</t>
  </si>
  <si>
    <t>Non-Lockbox and Attorney Checks</t>
  </si>
  <si>
    <t>Received By:</t>
  </si>
  <si>
    <t>Batch Total:</t>
  </si>
  <si>
    <t>Tracking</t>
  </si>
  <si>
    <t>Use this spreadsheet to log all received checks at your branch.</t>
  </si>
  <si>
    <t>Standard processing is within 2 business days of receipt at the CSSC</t>
  </si>
  <si>
    <t>Priority processing is within 24 hours of receipt at the CSSC which applies to homeowner checks greater than $5,000</t>
  </si>
  <si>
    <t>Date Received</t>
  </si>
  <si>
    <t>Association Name</t>
  </si>
  <si>
    <t>Check #</t>
  </si>
  <si>
    <t>Amount</t>
  </si>
  <si>
    <t>Homeowner Name</t>
  </si>
  <si>
    <t>Homeowner Account Number</t>
  </si>
  <si>
    <t>Notes</t>
  </si>
  <si>
    <t>Column1</t>
  </si>
  <si>
    <t>Processed</t>
  </si>
  <si>
    <t>-1</t>
  </si>
  <si>
    <t>-12</t>
  </si>
  <si>
    <t>1</t>
  </si>
  <si>
    <t>Miscellaneous Income - Association (Non-Homeowner)</t>
  </si>
  <si>
    <t>GL Code</t>
  </si>
  <si>
    <t>GL Description</t>
  </si>
  <si>
    <t>Deposting Bank</t>
  </si>
  <si>
    <t>Department</t>
  </si>
  <si>
    <t>Miscellaneous Income - Homeowner/Tenant</t>
  </si>
  <si>
    <t>Regular assessments payments should not be included on this form and should be sent directly to the association's designated lockbox for processing.</t>
  </si>
  <si>
    <t>Check Date Rcvd.</t>
  </si>
  <si>
    <t>Homeowner Last Name</t>
  </si>
  <si>
    <t>C3 Account Number</t>
  </si>
  <si>
    <t>Charge Type to Apply to Homeowner’s Account</t>
  </si>
  <si>
    <t>Description for Comments field on Homeowner’s Account</t>
  </si>
  <si>
    <t>Category</t>
  </si>
  <si>
    <t>Charge Code</t>
  </si>
  <si>
    <t>Charge Description</t>
  </si>
  <si>
    <t>Usage Definition</t>
  </si>
  <si>
    <t>Primary Department Utilizing</t>
  </si>
  <si>
    <t>Usage Considerations</t>
  </si>
  <si>
    <t>Access/Amenities</t>
  </si>
  <si>
    <t>GATEACCESS</t>
  </si>
  <si>
    <t>Gate/Access</t>
  </si>
  <si>
    <t>Access to community through controlled gate specific to the pool, clubhouse</t>
  </si>
  <si>
    <t>Adjustments</t>
  </si>
  <si>
    <t>Similar to Key fee, but specific to Security Gate</t>
  </si>
  <si>
    <t>KEY</t>
  </si>
  <si>
    <t>Key Fee</t>
  </si>
  <si>
    <t>Confirm not Key Deposit</t>
  </si>
  <si>
    <t>POOL</t>
  </si>
  <si>
    <t>Pool Fee</t>
  </si>
  <si>
    <t>Common area pool fee</t>
  </si>
  <si>
    <t>RECSOCIAL</t>
  </si>
  <si>
    <t>Social/Recreation Fee</t>
  </si>
  <si>
    <t>Fees incurred for social events or use of recreation areas</t>
  </si>
  <si>
    <t>Fees</t>
  </si>
  <si>
    <t>ADMIN</t>
  </si>
  <si>
    <t>Administrative Fee</t>
  </si>
  <si>
    <t>Administrative fee charged by the association for copies, postage, etc.</t>
  </si>
  <si>
    <t>APP</t>
  </si>
  <si>
    <t>Application Fee</t>
  </si>
  <si>
    <t>For fees related to architectural requests or rental applications</t>
  </si>
  <si>
    <t>Confirm not ACCDEP</t>
  </si>
  <si>
    <t>BANK</t>
  </si>
  <si>
    <t>Bank Fee</t>
  </si>
  <si>
    <t>Bank fee to be charged to homeowner</t>
  </si>
  <si>
    <t>Same as NSF Fee</t>
  </si>
  <si>
    <t>MOVE</t>
  </si>
  <si>
    <t>Move In/Move Out Fee</t>
  </si>
  <si>
    <t>Fee charged for move in/move out services</t>
  </si>
  <si>
    <t>Elevator fee</t>
  </si>
  <si>
    <t>NSFASN</t>
  </si>
  <si>
    <t>NSF Processing Fee - Association</t>
  </si>
  <si>
    <t>Association-applied fee for a returned check</t>
  </si>
  <si>
    <t>Confirm not NSF Managegment</t>
  </si>
  <si>
    <t>NSFMGT</t>
  </si>
  <si>
    <t>NSF Processing Fee - Management</t>
  </si>
  <si>
    <t>Fee for a returned check payable to the management company</t>
  </si>
  <si>
    <t>Confirm not NSF Association</t>
  </si>
  <si>
    <t>PET</t>
  </si>
  <si>
    <t>Pet Fee</t>
  </si>
  <si>
    <t>Pet owner fee</t>
  </si>
  <si>
    <t>USER</t>
  </si>
  <si>
    <t>User Fee</t>
  </si>
  <si>
    <t>Generic fee for use of a common element to be used if no other fees apply</t>
  </si>
  <si>
    <t>Concierge Services</t>
  </si>
  <si>
    <t>Miscellaneous</t>
  </si>
  <si>
    <t>MISC</t>
  </si>
  <si>
    <t>Misc. fee outside of those listed within the standard</t>
  </si>
  <si>
    <t>Use carefully</t>
  </si>
  <si>
    <t>Refundable Deposit</t>
  </si>
  <si>
    <t>ACCDEP</t>
  </si>
  <si>
    <t>Architectural Review Deposit</t>
  </si>
  <si>
    <t xml:space="preserve">Refundable deposit collected for Architectural Review request  </t>
  </si>
  <si>
    <t>Confirm not APP</t>
  </si>
  <si>
    <t>DEPOSIT</t>
  </si>
  <si>
    <t>Deposit</t>
  </si>
  <si>
    <t>General deposit code</t>
  </si>
  <si>
    <t>When not Key, Rent, Security, Utility</t>
  </si>
  <si>
    <t>KEYDEP</t>
  </si>
  <si>
    <t>Key Deposit</t>
  </si>
  <si>
    <t>Key deposit fee</t>
  </si>
  <si>
    <t>Confirm not Key Fee</t>
  </si>
  <si>
    <t>RENTDEP</t>
  </si>
  <si>
    <t>Rent Deposit</t>
  </si>
  <si>
    <t>Deposit charged for Rental Fee, Room Rental Fee, or Storage Rental Fee</t>
  </si>
  <si>
    <t>SECDEP</t>
  </si>
  <si>
    <t>Security Deposit</t>
  </si>
  <si>
    <t xml:space="preserve">Refundable security deposit charge </t>
  </si>
  <si>
    <t>UTLDEP</t>
  </si>
  <si>
    <t>Utility Deposit</t>
  </si>
  <si>
    <t>Utility deposit fee</t>
  </si>
  <si>
    <t>Refunds and Credits</t>
  </si>
  <si>
    <t>MP</t>
  </si>
  <si>
    <t>Misapplied Payment</t>
  </si>
  <si>
    <t>Reimbursement for payment applied to the wrong account</t>
  </si>
  <si>
    <t>Requires Stronroom form if moving from to another community</t>
  </si>
  <si>
    <t>REFUND</t>
  </si>
  <si>
    <t>Refund</t>
  </si>
  <si>
    <t xml:space="preserve">Used to indicate homeowner overpayment </t>
  </si>
  <si>
    <t>Require Strongroom form</t>
  </si>
  <si>
    <t>Payments</t>
  </si>
  <si>
    <t>RTRNPMT</t>
  </si>
  <si>
    <t>Returned Payment</t>
  </si>
  <si>
    <t>Charge type used to reverse a payment that was rejected by the bank</t>
  </si>
  <si>
    <t>Requires Strongroom form</t>
  </si>
  <si>
    <t>UP</t>
  </si>
  <si>
    <t>Unclaimed Property</t>
  </si>
  <si>
    <t>Submission of Credits on Settled account to State as Unclaimed Property</t>
  </si>
  <si>
    <t>Rental Fees</t>
  </si>
  <si>
    <t>RENTAL</t>
  </si>
  <si>
    <t>Rental Fee</t>
  </si>
  <si>
    <t>Rental fees related to housing unit only</t>
  </si>
  <si>
    <t>RENTGST</t>
  </si>
  <si>
    <t>Guest Suite Rental</t>
  </si>
  <si>
    <t>Charge to owner for Guest Suite usage</t>
  </si>
  <si>
    <t>ROOMRENTAL</t>
  </si>
  <si>
    <t>Room Rental Fee</t>
  </si>
  <si>
    <t>Fee for common-area room rental</t>
  </si>
  <si>
    <t>Repairs</t>
  </si>
  <si>
    <t>DAMAGE</t>
  </si>
  <si>
    <t>Damage Fee</t>
  </si>
  <si>
    <t>Charged to an owner for repair of damage</t>
  </si>
  <si>
    <t>MAINT</t>
  </si>
  <si>
    <t>General Maintenance</t>
  </si>
  <si>
    <t>General maintenance fee</t>
  </si>
  <si>
    <t>Confirm not Reimbursable Repair</t>
  </si>
  <si>
    <t>REPAIR</t>
  </si>
  <si>
    <t>Reimbursable Repair</t>
  </si>
  <si>
    <t>Repair expense charged back to the homeowner by the association</t>
  </si>
  <si>
    <t>Confirm not Maintenance</t>
  </si>
  <si>
    <t>Violations</t>
  </si>
  <si>
    <t>COMPFEE</t>
  </si>
  <si>
    <t>Compliance Fee</t>
  </si>
  <si>
    <t>Fee charged to an owner for actions taken by the association to bring a property into compliance with governing documents</t>
  </si>
  <si>
    <t>FINE</t>
  </si>
  <si>
    <t>Compliance Fine</t>
  </si>
  <si>
    <t>Fine for violation of governing document stipulation</t>
  </si>
  <si>
    <t>MOW</t>
  </si>
  <si>
    <t>Force Mow</t>
  </si>
  <si>
    <t>Charged when the association mows a homeowner's property to bring it into compliance with governing documents</t>
  </si>
  <si>
    <t>Same as Compliance Fee</t>
  </si>
  <si>
    <t>Food and Beverage</t>
  </si>
  <si>
    <t>FBBANQGR</t>
  </si>
  <si>
    <t>Food &amp; Bev Banquet/Event Gratuity</t>
  </si>
  <si>
    <t>Food &amp; beverage gratuity charge for banquet rental</t>
  </si>
  <si>
    <t>Will be used rarely</t>
  </si>
  <si>
    <t>FBDISC</t>
  </si>
  <si>
    <t>Food &amp; Beverage Discount</t>
  </si>
  <si>
    <t>Food &amp; beverage discount</t>
  </si>
  <si>
    <t>FBEQRENT</t>
  </si>
  <si>
    <t>Food &amp; Bev Equip Rental Fee</t>
  </si>
  <si>
    <t>Food &amp; beverage equipment rental fee</t>
  </si>
  <si>
    <t>FBGRAT</t>
  </si>
  <si>
    <t>Food &amp; Beverage Gratuity</t>
  </si>
  <si>
    <t>General food &amp; beverage gratuity charge</t>
  </si>
  <si>
    <t>FBMISC</t>
  </si>
  <si>
    <t>Food &amp; Beverage Misc Charge</t>
  </si>
  <si>
    <t>Misc. food &amp; beverage gratuity charge</t>
  </si>
  <si>
    <t>FBOTHER</t>
  </si>
  <si>
    <t>Food &amp; Beverage Other Charge</t>
  </si>
  <si>
    <t>Other food &amp; beverage charge</t>
  </si>
  <si>
    <t>FBRMRENT</t>
  </si>
  <si>
    <t>Food &amp; Bev Room Rental Fee</t>
  </si>
  <si>
    <t>Fee for food &amp; beverage room rental</t>
  </si>
  <si>
    <t>FBSERV</t>
  </si>
  <si>
    <t>Food &amp; Beverage Service Fee</t>
  </si>
  <si>
    <t>Fee for food and beverage service</t>
  </si>
  <si>
    <t>FOOD01-10</t>
  </si>
  <si>
    <t>Food Revenue 1</t>
  </si>
  <si>
    <t>Misc. food income</t>
  </si>
  <si>
    <t>Golf</t>
  </si>
  <si>
    <t>GCADNON</t>
  </si>
  <si>
    <t>Golf Course Annual Fee-Non-Res</t>
  </si>
  <si>
    <t>Annual golf fees for non-residents</t>
  </si>
  <si>
    <t>GCADOTH</t>
  </si>
  <si>
    <t>Golf Course Annual Fee-Other</t>
  </si>
  <si>
    <t>Annual golf fees for those that fall outside the resident/non resident classification</t>
  </si>
  <si>
    <t>GCADRES</t>
  </si>
  <si>
    <t>Golf Course Annual Fee - Res</t>
  </si>
  <si>
    <t>Annual golf fees for residents</t>
  </si>
  <si>
    <t>GCCART</t>
  </si>
  <si>
    <t>Golf Cart Rental</t>
  </si>
  <si>
    <t>Golf cart rental fee</t>
  </si>
  <si>
    <t>GCCLUB</t>
  </si>
  <si>
    <t>Golf Club Rental</t>
  </si>
  <si>
    <t>Golf club rental fee</t>
  </si>
  <si>
    <t>GCEXPGC</t>
  </si>
  <si>
    <t>Golf - Expired Gift Certificate</t>
  </si>
  <si>
    <t>Expired golf gift certificate</t>
  </si>
  <si>
    <t>GCGFGST</t>
  </si>
  <si>
    <t>Golf Course Green Fee - Guest</t>
  </si>
  <si>
    <t>Golf course green fee for guests</t>
  </si>
  <si>
    <t>GCGFNON</t>
  </si>
  <si>
    <t>Golf Course Green Fee-Non Res</t>
  </si>
  <si>
    <t>Golf course green fee for non-residents</t>
  </si>
  <si>
    <t>GCGFOTH</t>
  </si>
  <si>
    <t>Golf Course Green Fee - Other</t>
  </si>
  <si>
    <t xml:space="preserve">Guest Golf course green fees </t>
  </si>
  <si>
    <t>GCGFOUT</t>
  </si>
  <si>
    <t>Golf Course Green Fee - Outing</t>
  </si>
  <si>
    <t>Golf course green fee - outing</t>
  </si>
  <si>
    <t>GCGFRES</t>
  </si>
  <si>
    <t>Golf Course Green Fee - Res</t>
  </si>
  <si>
    <t>Golf course green fee for residents</t>
  </si>
  <si>
    <t>GCHAND</t>
  </si>
  <si>
    <t>Golf Course Handicap Svc Fee</t>
  </si>
  <si>
    <t>Golf course handicap service fee</t>
  </si>
  <si>
    <t>GCPRO</t>
  </si>
  <si>
    <t>Golf Pro Shop Charge</t>
  </si>
  <si>
    <t>Charge incurred at the golf pro shop</t>
  </si>
  <si>
    <t>GCRANGE</t>
  </si>
  <si>
    <t>Golf Driving Range Fee</t>
  </si>
  <si>
    <t>Golf driving range fee</t>
  </si>
  <si>
    <t>Utility</t>
  </si>
  <si>
    <t>CABLE</t>
  </si>
  <si>
    <t>Cable Assessment or Fee</t>
  </si>
  <si>
    <t>Assessment/fee related to cable TV and/or internet service</t>
  </si>
  <si>
    <t>Billing</t>
  </si>
  <si>
    <t>ELECTRIC</t>
  </si>
  <si>
    <t>Electric Assessment or Chargeback</t>
  </si>
  <si>
    <t>Utility assessment for electricity and/or chargeback for electric usage</t>
  </si>
  <si>
    <t>GAS</t>
  </si>
  <si>
    <t>Gas Assessment</t>
  </si>
  <si>
    <t>Utility assessment for gas</t>
  </si>
  <si>
    <t>IRRIGATION</t>
  </si>
  <si>
    <t>Irrigation (Water) Assessment</t>
  </si>
  <si>
    <t>Assessment for association irrigation/water usage</t>
  </si>
  <si>
    <t>SEWER</t>
  </si>
  <si>
    <t>Sewer Assessment</t>
  </si>
  <si>
    <t>Sewer assessment</t>
  </si>
  <si>
    <t>UTILITY</t>
  </si>
  <si>
    <t>Utility Assessment or Chargeback</t>
  </si>
  <si>
    <t>General utility assessment</t>
  </si>
  <si>
    <t>UTADMIN</t>
  </si>
  <si>
    <t>Utility Admin Fee</t>
  </si>
  <si>
    <t>Administrative Fee for Processing Utility charges</t>
  </si>
  <si>
    <t>WATER</t>
  </si>
  <si>
    <t>Water Assessment or Chargeback</t>
  </si>
  <si>
    <t>Water assessment</t>
  </si>
  <si>
    <t>Assessment</t>
  </si>
  <si>
    <t>BOARD</t>
  </si>
  <si>
    <t>Board Compensation</t>
  </si>
  <si>
    <t>Discount to Board Member for Community Service</t>
  </si>
  <si>
    <t>DEVELOP</t>
  </si>
  <si>
    <t>Developer Assessment</t>
  </si>
  <si>
    <t>Assessments charged to developer-owned units</t>
  </si>
  <si>
    <t>FIRERSC</t>
  </si>
  <si>
    <t>Fire and Rescue Assessment</t>
  </si>
  <si>
    <t>Alarm and/or sprinkler maintenance</t>
  </si>
  <si>
    <t>HVAC</t>
  </si>
  <si>
    <t>HVAC Assessment</t>
  </si>
  <si>
    <t>Assessment for HVAC service/set-up</t>
  </si>
  <si>
    <t>INSURANCE</t>
  </si>
  <si>
    <t>Insurance Assessment</t>
  </si>
  <si>
    <t>Assessment for association insurance coverage</t>
  </si>
  <si>
    <t>LOAN</t>
  </si>
  <si>
    <t>Loan Assessment</t>
  </si>
  <si>
    <t>Loan assessment</t>
  </si>
  <si>
    <t>MARINA</t>
  </si>
  <si>
    <t>Marina Assessment</t>
  </si>
  <si>
    <t>Marina docking fee</t>
  </si>
  <si>
    <t>PARKING-PARKING 10</t>
  </si>
  <si>
    <t>Parking/Garage Assessment or Fee</t>
  </si>
  <si>
    <t>Parking/garage fee</t>
  </si>
  <si>
    <t>RESERVE</t>
  </si>
  <si>
    <t>Reserve Income Assessment</t>
  </si>
  <si>
    <t>Reserve assessment</t>
  </si>
  <si>
    <t>SA02</t>
  </si>
  <si>
    <t>Special Assessment 02</t>
  </si>
  <si>
    <t>Additional Special Assessment as approved by association governing documents</t>
  </si>
  <si>
    <t>SA-SA10</t>
  </si>
  <si>
    <t>Special Assessment 01</t>
  </si>
  <si>
    <t>Special Assessment as approved by association governing documents</t>
  </si>
  <si>
    <t>TAX</t>
  </si>
  <si>
    <t>Tax Assessment</t>
  </si>
  <si>
    <t>Tax assessment</t>
  </si>
  <si>
    <t>PARKING2</t>
  </si>
  <si>
    <t>Parking/Garage Assessment 2</t>
  </si>
  <si>
    <t>Additional parking charge for same community</t>
  </si>
  <si>
    <t>PARKING3</t>
  </si>
  <si>
    <t>Parking/Garage Assessment 3</t>
  </si>
  <si>
    <t>PARKING4</t>
  </si>
  <si>
    <t>Parking/Garage Assessment 4</t>
  </si>
  <si>
    <t>PARKING5</t>
  </si>
  <si>
    <t>Parking/Garage Assessment 5</t>
  </si>
  <si>
    <t>PIPESTEM</t>
  </si>
  <si>
    <t>Pipe Stem Assessment</t>
  </si>
  <si>
    <t>Cul-de-sac specific charge</t>
  </si>
  <si>
    <t>TRASH</t>
  </si>
  <si>
    <t>Trash Assessment</t>
  </si>
  <si>
    <t>Trash collection assessment</t>
  </si>
  <si>
    <t>COUPON</t>
  </si>
  <si>
    <t>Coupon Fee</t>
  </si>
  <si>
    <t>Charged to community/owner for coupon book</t>
  </si>
  <si>
    <t>ASNOWNCR</t>
  </si>
  <si>
    <t>Association Owned Unit Credit</t>
  </si>
  <si>
    <t>Waived assessment for association-owned units</t>
  </si>
  <si>
    <t>DISCOUNT</t>
  </si>
  <si>
    <t>Association Fee Discount</t>
  </si>
  <si>
    <t>Homeowner assessment discount</t>
  </si>
  <si>
    <t>RENTASN</t>
  </si>
  <si>
    <t>HOA-Owned Unit Rental</t>
  </si>
  <si>
    <t>Rental fee charged on HOA-owned unit</t>
  </si>
  <si>
    <t>ROOFLEASE</t>
  </si>
  <si>
    <t>Roof Lease/Antenna</t>
  </si>
  <si>
    <t>Lease of roof space for Antenna or Satellite Equipment</t>
  </si>
  <si>
    <t>STORAGE</t>
  </si>
  <si>
    <t>Storage Rental Fee</t>
  </si>
  <si>
    <t>Fee charged for storage rental space</t>
  </si>
  <si>
    <t>LANDSCAPE</t>
  </si>
  <si>
    <t>Landscape Assessment or Chargeback</t>
  </si>
  <si>
    <t>Landscape assessment for common area maintenance and/or chargeback for landscaping fees incurred via common area maintenance</t>
  </si>
  <si>
    <t>Balance Forward</t>
  </si>
  <si>
    <t>BALFWD</t>
  </si>
  <si>
    <t>Balance on an account that has been brought over from a previous management company or prior software system</t>
  </si>
  <si>
    <t>Data Management</t>
  </si>
  <si>
    <t>ACCEL</t>
  </si>
  <si>
    <t>Accellerated Assessments</t>
  </si>
  <si>
    <t>Charges assessments in advance for a period defined by a collection attorney</t>
  </si>
  <si>
    <t>Delinquencies</t>
  </si>
  <si>
    <t>Typically this charge relates to collections settlement</t>
  </si>
  <si>
    <t>CERTLTR</t>
  </si>
  <si>
    <t>Certified Letter Charge</t>
  </si>
  <si>
    <t>Charged to an owner when certified mail is used to send a communication</t>
  </si>
  <si>
    <t>Charged in conjunction with the processing of delinquencies</t>
  </si>
  <si>
    <t>COLLECT</t>
  </si>
  <si>
    <t>Collection Fee</t>
  </si>
  <si>
    <t xml:space="preserve">Processing fee(s) for pursuing payment from accounts in Collection statuses (all but HCS - see HCS Collection Fee).  Accounts in Collection are those that have been turned over to an attorney or 3rd-party collection agency.  </t>
  </si>
  <si>
    <t>CRBUREAU</t>
  </si>
  <si>
    <t>Credit Bureau</t>
  </si>
  <si>
    <t>Credit Bureau filing fee</t>
  </si>
  <si>
    <t>DELQASN</t>
  </si>
  <si>
    <t>Delinquency Processing Fee - Association</t>
  </si>
  <si>
    <t>Delinquency processing fee payable to the association</t>
  </si>
  <si>
    <t>DELQMGT</t>
  </si>
  <si>
    <t>Delinquency Processing Fee - Management</t>
  </si>
  <si>
    <t>Delinquency processing fee payable to the management company</t>
  </si>
  <si>
    <t>DEMAND</t>
  </si>
  <si>
    <t>Demand Letter</t>
  </si>
  <si>
    <t>Final notice prior to Collections</t>
  </si>
  <si>
    <t>HC</t>
  </si>
  <si>
    <t>Handling Charge</t>
  </si>
  <si>
    <t>Handling fee passed through to the homeowner for processing of delinquencies by the management company</t>
  </si>
  <si>
    <t>HCSFEE</t>
  </si>
  <si>
    <t>HCS Collection Fee</t>
  </si>
  <si>
    <t>Fee specific to HCS collections; use Collection Fee for all other charges related to collection companies/fees that are not legal charges</t>
  </si>
  <si>
    <t>LEGAL</t>
  </si>
  <si>
    <t>Legal Fee</t>
  </si>
  <si>
    <t>Fee for legal services, including attorney fees, document filings, etc.</t>
  </si>
  <si>
    <t>LF</t>
  </si>
  <si>
    <t>Late Fee</t>
  </si>
  <si>
    <t>Late payment fee</t>
  </si>
  <si>
    <t>LI</t>
  </si>
  <si>
    <t>Late Interest</t>
  </si>
  <si>
    <t>Interest charged against late payment</t>
  </si>
  <si>
    <t>LIEN</t>
  </si>
  <si>
    <t>Lien Charge</t>
  </si>
  <si>
    <t>LIENFILE</t>
  </si>
  <si>
    <t>Lien Filing Fee</t>
  </si>
  <si>
    <t>Fee for filing a lien on a property</t>
  </si>
  <si>
    <t>PPASN</t>
  </si>
  <si>
    <t>Payment Plan Fee - Association</t>
  </si>
  <si>
    <t>Payment Plan fee charged to the homeowner by the association</t>
  </si>
  <si>
    <t>PPATTY</t>
  </si>
  <si>
    <t>Payment Plan Fee - Attorney</t>
  </si>
  <si>
    <t>Payment Plan fee charged to the homeowner by the attorney</t>
  </si>
  <si>
    <t>PPMGT</t>
  </si>
  <si>
    <t>Payment Plan Fee - Management</t>
  </si>
  <si>
    <t>Payment Plan fee charged to the homeowner by the management company</t>
  </si>
  <si>
    <t>TITLE</t>
  </si>
  <si>
    <t>Title Search</t>
  </si>
  <si>
    <t>Fee charged for property owner search</t>
  </si>
  <si>
    <t>POC</t>
  </si>
  <si>
    <t>Proof of Claim</t>
  </si>
  <si>
    <t>Fee related to Bankruptcy processing - a claim against the assets of the bankruptcy estate</t>
  </si>
  <si>
    <t>Bad Debt</t>
  </si>
  <si>
    <t>BADDEBT</t>
  </si>
  <si>
    <t>Bad Debt/Write Off</t>
  </si>
  <si>
    <t>For use during foreclosure proceedings</t>
  </si>
  <si>
    <t>Settlements</t>
  </si>
  <si>
    <t>Bankruptcy</t>
  </si>
  <si>
    <t>BANKRUPTCY</t>
  </si>
  <si>
    <t>For writing off amounts that will not be collectable due to bankruptcy</t>
  </si>
  <si>
    <t>Resale</t>
  </si>
  <si>
    <t>RESALEDISC</t>
  </si>
  <si>
    <t>Disclosure Package Fee</t>
  </si>
  <si>
    <t>Association-assessed resale processing fee</t>
  </si>
  <si>
    <t>RESALEPROC</t>
  </si>
  <si>
    <t>Resale Processing Fee</t>
  </si>
  <si>
    <t>Branch-assessed resale processing fee</t>
  </si>
  <si>
    <t>TRSFRASN</t>
  </si>
  <si>
    <t xml:space="preserve"> Transfer Fee - Association</t>
  </si>
  <si>
    <t>Association-assessed transfer fee</t>
  </si>
  <si>
    <t>TRSFRMGT</t>
  </si>
  <si>
    <t>Transfer Fee</t>
  </si>
  <si>
    <t>Branch-assessed transfer fee</t>
  </si>
  <si>
    <t>Working Capital</t>
  </si>
  <si>
    <t>WC</t>
  </si>
  <si>
    <t>Working Capital Contribution</t>
  </si>
  <si>
    <t>Typically assessed when a homeowner moves in, often when the HOA is just getting off the ground</t>
  </si>
  <si>
    <t>IUS</t>
  </si>
  <si>
    <t>EMB Management</t>
  </si>
  <si>
    <t>Lena Papakonstantinou</t>
  </si>
  <si>
    <t>425-452-7330</t>
  </si>
  <si>
    <t>customerservice@embmanagement.com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</si>
</sst>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7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8"/>
      <color theme="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2"/>
      <color theme="1"/>
      <name val="Arial"/>
      <family val="2"/>
    </font>
    <font>
      <i/>
      <sz val="9"/>
      <color rgb="FFFF000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6AD80"/>
        <bgColor indexed="64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</borders>
  <cellStyleXfs count="3">
    <xf numFmtId="0" fontId="0" fillId="0" borderId="0"/>
    <xf numFmtId="0" fontId="4" fillId="0" borderId="0"/>
    <xf numFmtId="0" fontId="7" fillId="0" borderId="0" applyNumberFormat="0" applyFill="0" applyBorder="0" applyAlignment="0" applyProtection="0"/>
  </cellStyleXfs>
  <cellXfs count="69">
    <xf numFmtId="0" fontId="0" fillId="0" borderId="0" xfId="0"/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vertical="center" wrapText="1"/>
      <protection locked="0"/>
    </xf>
    <xf numFmtId="14" fontId="2" fillId="3" borderId="1" xfId="0" applyNumberFormat="1" applyFont="1" applyFill="1" applyBorder="1" applyAlignment="1" applyProtection="1">
      <alignment vertical="center" wrapText="1"/>
      <protection locked="0"/>
    </xf>
    <xf numFmtId="0" fontId="0" fillId="3" borderId="1" xfId="0" applyFill="1" applyBorder="1" applyProtection="1">
      <protection locked="0"/>
    </xf>
    <xf numFmtId="0" fontId="7" fillId="3" borderId="1" xfId="2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9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6" fillId="0" borderId="0" xfId="0" applyFont="1"/>
    <xf numFmtId="0" fontId="6" fillId="4" borderId="0" xfId="0" applyFont="1" applyFill="1"/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0" fillId="4" borderId="3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8" fillId="4" borderId="0" xfId="0" applyFont="1" applyFill="1"/>
    <xf numFmtId="0" fontId="1" fillId="4" borderId="0" xfId="0" applyFont="1" applyFill="1" applyAlignment="1">
      <alignment horizontal="center" vertical="center" wrapText="1"/>
    </xf>
    <xf numFmtId="14" fontId="2" fillId="4" borderId="4" xfId="0" applyNumberFormat="1" applyFont="1" applyFill="1" applyBorder="1" applyAlignment="1">
      <alignment vertical="center" wrapText="1"/>
    </xf>
    <xf numFmtId="164" fontId="2" fillId="4" borderId="0" xfId="0" applyNumberFormat="1" applyFont="1" applyFill="1" applyAlignment="1">
      <alignment vertical="center" wrapText="1"/>
    </xf>
    <xf numFmtId="0" fontId="11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0" fillId="0" borderId="0" xfId="0" applyAlignment="1">
      <alignment textRotation="255"/>
    </xf>
    <xf numFmtId="0" fontId="10" fillId="4" borderId="8" xfId="0" applyFont="1" applyFill="1" applyBorder="1"/>
    <xf numFmtId="0" fontId="3" fillId="2" borderId="6" xfId="0" applyFont="1" applyFill="1" applyBorder="1" applyAlignment="1">
      <alignment horizontal="center" vertical="center" wrapText="1"/>
    </xf>
    <xf numFmtId="0" fontId="15" fillId="5" borderId="9" xfId="1" applyFont="1" applyFill="1" applyBorder="1" applyAlignment="1">
      <alignment horizontal="center" vertical="center" wrapText="1"/>
    </xf>
    <xf numFmtId="0" fontId="15" fillId="5" borderId="9" xfId="1" applyFont="1" applyFill="1" applyBorder="1" applyAlignment="1">
      <alignment horizontal="left" wrapText="1"/>
    </xf>
    <xf numFmtId="0" fontId="16" fillId="0" borderId="0" xfId="1" applyFont="1" applyAlignment="1">
      <alignment wrapText="1"/>
    </xf>
    <xf numFmtId="0" fontId="16" fillId="6" borderId="9" xfId="1" applyFont="1" applyFill="1" applyBorder="1" applyAlignment="1">
      <alignment horizontal="center" vertical="center"/>
    </xf>
    <xf numFmtId="0" fontId="16" fillId="6" borderId="9" xfId="1" applyFont="1" applyFill="1" applyBorder="1" applyAlignment="1">
      <alignment horizontal="center" vertical="center" wrapText="1"/>
    </xf>
    <xf numFmtId="0" fontId="16" fillId="6" borderId="9" xfId="1" applyFont="1" applyFill="1" applyBorder="1" applyAlignment="1">
      <alignment horizontal="left" wrapText="1"/>
    </xf>
    <xf numFmtId="0" fontId="16" fillId="0" borderId="0" xfId="1" applyFont="1"/>
    <xf numFmtId="0" fontId="16" fillId="7" borderId="9" xfId="1" applyFont="1" applyFill="1" applyBorder="1" applyAlignment="1">
      <alignment horizontal="center" vertical="center"/>
    </xf>
    <xf numFmtId="0" fontId="16" fillId="7" borderId="9" xfId="1" applyFont="1" applyFill="1" applyBorder="1" applyAlignment="1">
      <alignment horizontal="center" vertical="center" wrapText="1"/>
    </xf>
    <xf numFmtId="0" fontId="16" fillId="7" borderId="9" xfId="1" applyFont="1" applyFill="1" applyBorder="1" applyAlignment="1">
      <alignment horizontal="left" wrapText="1"/>
    </xf>
    <xf numFmtId="0" fontId="16" fillId="8" borderId="9" xfId="1" applyFont="1" applyFill="1" applyBorder="1" applyAlignment="1">
      <alignment horizontal="center" vertical="center"/>
    </xf>
    <xf numFmtId="0" fontId="16" fillId="8" borderId="9" xfId="1" applyFont="1" applyFill="1" applyBorder="1" applyAlignment="1">
      <alignment horizontal="center" vertical="center" wrapText="1"/>
    </xf>
    <xf numFmtId="0" fontId="16" fillId="8" borderId="9" xfId="1" applyFont="1" applyFill="1" applyBorder="1" applyAlignment="1">
      <alignment horizontal="left" wrapText="1"/>
    </xf>
    <xf numFmtId="0" fontId="16" fillId="9" borderId="9" xfId="1" applyFont="1" applyFill="1" applyBorder="1" applyAlignment="1">
      <alignment horizontal="center" vertical="center"/>
    </xf>
    <xf numFmtId="0" fontId="16" fillId="9" borderId="9" xfId="1" applyFont="1" applyFill="1" applyBorder="1" applyAlignment="1">
      <alignment horizontal="left" wrapText="1"/>
    </xf>
    <xf numFmtId="0" fontId="16" fillId="9" borderId="9" xfId="1" applyFont="1" applyFill="1" applyBorder="1" applyAlignment="1">
      <alignment horizontal="center" vertical="center" wrapText="1"/>
    </xf>
    <xf numFmtId="0" fontId="16" fillId="9" borderId="9" xfId="1" applyFont="1" applyFill="1" applyBorder="1" applyAlignment="1">
      <alignment horizontal="left" vertical="center" wrapText="1"/>
    </xf>
    <xf numFmtId="0" fontId="16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 wrapText="1"/>
    </xf>
    <xf numFmtId="0" fontId="16" fillId="0" borderId="0" xfId="1" applyFont="1" applyAlignment="1">
      <alignment horizontal="left" wrapText="1"/>
    </xf>
    <xf numFmtId="164" fontId="7" fillId="3" borderId="1" xfId="2" applyNumberFormat="1" applyFill="1" applyBorder="1" applyAlignment="1" applyProtection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164" fontId="7" fillId="3" borderId="1" xfId="2" applyNumberFormat="1" applyFill="1" applyBorder="1" applyAlignment="1" applyProtection="1">
      <alignment vertical="center" wrapText="1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10" fillId="4" borderId="6" xfId="0" applyFont="1" applyFill="1" applyBorder="1" applyProtection="1">
      <protection locked="0"/>
    </xf>
    <xf numFmtId="0" fontId="10" fillId="10" borderId="6" xfId="0" applyFont="1" applyFill="1" applyBorder="1" applyProtection="1">
      <protection locked="0"/>
    </xf>
    <xf numFmtId="0" fontId="10" fillId="10" borderId="5" xfId="0" applyFont="1" applyFill="1" applyBorder="1" applyProtection="1">
      <protection locked="0"/>
    </xf>
    <xf numFmtId="0" fontId="10" fillId="10" borderId="7" xfId="0" applyFont="1" applyFill="1" applyBorder="1" applyProtection="1">
      <protection locked="0"/>
    </xf>
    <xf numFmtId="0" fontId="10" fillId="10" borderId="11" xfId="0" applyFont="1" applyFill="1" applyBorder="1" applyProtection="1">
      <protection locked="0"/>
    </xf>
    <xf numFmtId="0" fontId="1" fillId="3" borderId="1" xfId="0" applyFont="1" applyFill="1" applyBorder="1" applyAlignment="1" applyProtection="1">
      <alignment vertical="center" wrapText="1"/>
      <protection locked="0"/>
    </xf>
    <xf numFmtId="0" fontId="1" fillId="3" borderId="1" xfId="0" applyFont="1" applyFill="1" applyBorder="1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textRotation="90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2E75B6"/>
      <color rgb="FF8FA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910167</xdr:colOff>
      <xdr:row>0</xdr:row>
      <xdr:rowOff>1365250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730750" y="1365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</xdr:col>
      <xdr:colOff>0</xdr:colOff>
      <xdr:row>1</xdr:row>
      <xdr:rowOff>0</xdr:rowOff>
    </xdr:from>
    <xdr:to>
      <xdr:col>2</xdr:col>
      <xdr:colOff>492560</xdr:colOff>
      <xdr:row>2</xdr:row>
      <xdr:rowOff>185803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2758475C-FDE3-AE47-2964-FD8B08372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6137" y="198329"/>
          <a:ext cx="2047875" cy="457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605155</xdr:colOff>
      <xdr:row>3</xdr:row>
      <xdr:rowOff>91440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64E1200-3214-AEDC-B42C-5C2A8007C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4640" y="182880"/>
          <a:ext cx="2047875" cy="457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64256</xdr:colOff>
      <xdr:row>3</xdr:row>
      <xdr:rowOff>94343</xdr:rowOff>
    </xdr:to>
    <xdr:pic>
      <xdr:nvPicPr>
        <xdr:cNvPr id="8" name="Graphic 7">
          <a:extLst>
            <a:ext uri="{FF2B5EF4-FFF2-40B4-BE49-F238E27FC236}">
              <a16:creationId xmlns:a16="http://schemas.microsoft.com/office/drawing/2014/main" id="{0E001BCE-0FA3-280B-4773-01159004A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2381" y="181429"/>
          <a:ext cx="2047875" cy="457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686435</xdr:colOff>
      <xdr:row>3</xdr:row>
      <xdr:rowOff>91440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18049873-C058-8158-C7CD-822EE7600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3680" y="182880"/>
          <a:ext cx="2047875" cy="457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1685925</xdr:colOff>
      <xdr:row>3</xdr:row>
      <xdr:rowOff>161925</xdr:rowOff>
    </xdr:from>
    <xdr:to>
      <xdr:col>6</xdr:col>
      <xdr:colOff>1047750</xdr:colOff>
      <xdr:row>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3181350" y="733425"/>
          <a:ext cx="5229225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>
              <a:latin typeface="Arial" panose="020B0604020202020204" pitchFamily="34" charset="0"/>
              <a:cs typeface="Arial" panose="020B0604020202020204" pitchFamily="34" charset="0"/>
            </a:rPr>
            <a:t>Lockbox Checks - Homeowner/Tenant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615209</xdr:colOff>
      <xdr:row>3</xdr:row>
      <xdr:rowOff>98612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6D98A150-1B3B-9C67-07A9-6656C173A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294" y="179294"/>
          <a:ext cx="2047875" cy="4572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I15"/>
  <sheetViews>
    <sheetView zoomScale="75" zoomScaleNormal="75" workbookViewId="0">
      <selection activeCell="B16" sqref="B16"/>
    </sheetView>
  </sheetViews>
  <sheetFormatPr defaultColWidth="19.88671875" defaultRowHeight="14.4" x14ac:dyDescent="0.3"/>
  <cols>
    <col min="1" max="1" width="2.109375" customWidth="1"/>
    <col min="2" max="2" width="22.6640625" customWidth="1"/>
    <col min="3" max="3" width="32.44140625" customWidth="1"/>
    <col min="4" max="4" width="34.33203125" customWidth="1"/>
    <col min="5" max="5" width="33.109375" customWidth="1"/>
    <col min="6" max="6" width="24.44140625" customWidth="1"/>
    <col min="7" max="7" width="41.33203125" customWidth="1"/>
    <col min="8" max="8" width="18.44140625" customWidth="1"/>
    <col min="9" max="9" width="14.109375" bestFit="1" customWidth="1"/>
    <col min="10" max="10" width="2.33203125" customWidth="1"/>
    <col min="11" max="16383" width="19.88671875" customWidth="1"/>
  </cols>
  <sheetData>
    <row r="1" spans="2:9" ht="15.6" customHeight="1" x14ac:dyDescent="0.3">
      <c r="B1" s="6"/>
      <c r="C1" s="6"/>
      <c r="D1" s="6"/>
      <c r="E1" s="6"/>
      <c r="F1" s="6"/>
      <c r="G1" s="6"/>
      <c r="H1" s="6"/>
      <c r="I1" s="6"/>
    </row>
    <row r="2" spans="2:9" ht="21.9" customHeight="1" x14ac:dyDescent="0.3">
      <c r="B2" s="8"/>
      <c r="C2" s="8"/>
      <c r="D2" s="8"/>
      <c r="E2" s="8"/>
      <c r="F2" s="8"/>
      <c r="G2" s="8"/>
      <c r="H2" s="8"/>
      <c r="I2" s="9"/>
    </row>
    <row r="3" spans="2:9" ht="21.9" customHeight="1" x14ac:dyDescent="0.3">
      <c r="B3" s="8"/>
      <c r="C3" s="8"/>
      <c r="D3" s="8"/>
      <c r="E3" s="8"/>
      <c r="F3" s="8"/>
      <c r="G3" s="8"/>
      <c r="H3" s="8"/>
      <c r="I3" s="9"/>
    </row>
    <row r="4" spans="2:9" s="10" customFormat="1" ht="21.9" customHeight="1" x14ac:dyDescent="0.3">
      <c r="B4" s="11"/>
      <c r="C4" s="12"/>
      <c r="D4" s="11"/>
      <c r="E4" s="11"/>
      <c r="F4" s="11"/>
      <c r="G4" s="11"/>
      <c r="H4" s="12"/>
      <c r="I4" s="12"/>
    </row>
    <row r="5" spans="2:9" ht="21.9" customHeight="1" x14ac:dyDescent="0.3">
      <c r="B5" s="8"/>
      <c r="C5" s="8"/>
      <c r="D5" s="63" t="s">
        <v>14</v>
      </c>
      <c r="E5" s="63"/>
      <c r="F5" s="63"/>
      <c r="G5" s="63"/>
      <c r="H5" s="13"/>
      <c r="I5" s="8"/>
    </row>
    <row r="6" spans="2:9" ht="21.9" customHeight="1" x14ac:dyDescent="0.3">
      <c r="B6" s="8"/>
      <c r="C6" s="8"/>
      <c r="D6" s="8"/>
      <c r="E6" s="8"/>
      <c r="F6" s="8"/>
      <c r="G6" s="8"/>
      <c r="H6" s="8"/>
      <c r="I6" s="14"/>
    </row>
    <row r="7" spans="2:9" ht="21.9" customHeight="1" x14ac:dyDescent="0.3">
      <c r="B7" s="64" t="s">
        <v>0</v>
      </c>
      <c r="C7" s="65"/>
      <c r="D7" s="8"/>
      <c r="E7" s="8"/>
      <c r="F7" s="8"/>
      <c r="G7" s="8"/>
      <c r="H7" s="66" t="s">
        <v>1</v>
      </c>
      <c r="I7" s="66"/>
    </row>
    <row r="8" spans="2:9" ht="21.9" customHeight="1" x14ac:dyDescent="0.3">
      <c r="B8" s="15" t="s">
        <v>2</v>
      </c>
      <c r="C8" s="2"/>
      <c r="D8" s="8"/>
      <c r="E8" s="8"/>
      <c r="F8" s="8"/>
      <c r="G8" s="8"/>
      <c r="H8" s="15" t="s">
        <v>7</v>
      </c>
      <c r="I8" s="1"/>
    </row>
    <row r="9" spans="2:9" ht="21.9" customHeight="1" x14ac:dyDescent="0.3">
      <c r="B9" s="15" t="s">
        <v>3</v>
      </c>
      <c r="C9" s="2"/>
      <c r="D9" s="8"/>
      <c r="E9" s="8"/>
      <c r="F9" s="8"/>
      <c r="G9" s="8"/>
      <c r="H9" s="15" t="s">
        <v>8</v>
      </c>
      <c r="I9" s="1"/>
    </row>
    <row r="10" spans="2:9" ht="21.9" customHeight="1" x14ac:dyDescent="0.3">
      <c r="B10" s="15" t="s">
        <v>4</v>
      </c>
      <c r="C10" s="2"/>
      <c r="D10" s="8"/>
      <c r="E10" s="8"/>
      <c r="F10" s="8"/>
      <c r="G10" s="16"/>
      <c r="H10" s="17"/>
      <c r="I10" s="18"/>
    </row>
    <row r="11" spans="2:9" ht="21.9" customHeight="1" x14ac:dyDescent="0.3">
      <c r="B11" s="15" t="s">
        <v>6</v>
      </c>
      <c r="C11" s="5"/>
      <c r="D11" s="8"/>
      <c r="E11" s="8"/>
      <c r="F11" s="8"/>
      <c r="G11" s="8"/>
      <c r="H11" s="17"/>
      <c r="I11" s="19"/>
    </row>
    <row r="12" spans="2:9" ht="21.9" customHeight="1" x14ac:dyDescent="0.3">
      <c r="B12" s="15" t="s">
        <v>5</v>
      </c>
      <c r="C12" s="3"/>
      <c r="D12" s="8"/>
      <c r="E12" s="8"/>
      <c r="F12" s="8"/>
      <c r="G12" s="8"/>
      <c r="H12" s="8"/>
      <c r="I12" s="8"/>
    </row>
    <row r="13" spans="2:9" ht="21.9" customHeight="1" x14ac:dyDescent="0.3">
      <c r="B13" s="15" t="s">
        <v>13</v>
      </c>
      <c r="C13" s="4"/>
      <c r="D13" s="8"/>
      <c r="E13" s="8"/>
      <c r="F13" s="8"/>
      <c r="G13" s="8"/>
      <c r="H13" s="8"/>
      <c r="I13" s="8"/>
    </row>
    <row r="14" spans="2:9" ht="21.9" customHeight="1" x14ac:dyDescent="0.3">
      <c r="B14" s="8"/>
      <c r="C14" s="8"/>
      <c r="D14" s="8"/>
      <c r="E14" s="8"/>
      <c r="F14" s="8"/>
      <c r="G14" s="8"/>
      <c r="H14" s="8"/>
      <c r="I14" s="8"/>
    </row>
    <row r="15" spans="2:9" ht="34.799999999999997" customHeight="1" x14ac:dyDescent="0.3">
      <c r="B15" s="51" t="s">
        <v>9</v>
      </c>
      <c r="C15" s="52" t="s">
        <v>15</v>
      </c>
      <c r="D15" s="52" t="s">
        <v>10</v>
      </c>
      <c r="E15" s="52" t="s">
        <v>18</v>
      </c>
      <c r="F15" s="52" t="s">
        <v>12</v>
      </c>
      <c r="G15" s="52" t="s">
        <v>11</v>
      </c>
      <c r="H15" s="52" t="s">
        <v>16</v>
      </c>
      <c r="I15" s="53" t="s">
        <v>17</v>
      </c>
    </row>
  </sheetData>
  <sheetProtection insertRows="0" sort="0" autoFilter="0"/>
  <mergeCells count="3">
    <mergeCell ref="D5:G5"/>
    <mergeCell ref="B7:C7"/>
    <mergeCell ref="H7:I7"/>
  </mergeCells>
  <dataValidations count="2">
    <dataValidation allowBlank="1" showInputMessage="1" errorTitle="Date" error="Please enter a valid date" sqref="I11" xr:uid="{00000000-0002-0000-0000-000000000000}"/>
    <dataValidation type="date" allowBlank="1" showInputMessage="1" showErrorMessage="1" errorTitle="Date" error="Please enter a valid date" sqref="C12" xr:uid="{00000000-0002-0000-0000-000003000000}">
      <formula1>367</formula1>
      <formula2>767010</formula2>
    </dataValidation>
  </dataValidations>
  <pageMargins left="0.25" right="0.25" top="0.75" bottom="0.75" header="0.3" footer="0.3"/>
  <pageSetup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A026-EAF3-4C1E-B78D-64E81D57C129}">
  <sheetPr codeName="Sheet3">
    <pageSetUpPr fitToPage="1"/>
  </sheetPr>
  <dimension ref="B1:M19"/>
  <sheetViews>
    <sheetView tabSelected="1" zoomScale="75" zoomScaleNormal="75" workbookViewId="0">
      <selection activeCell="C21" sqref="C21"/>
    </sheetView>
  </sheetViews>
  <sheetFormatPr defaultColWidth="8.88671875" defaultRowHeight="14.4" x14ac:dyDescent="0.3"/>
  <cols>
    <col min="1" max="1" width="4.33203125" style="6" customWidth="1"/>
    <col min="2" max="2" width="21" style="6" customWidth="1"/>
    <col min="3" max="4" width="29.6640625" style="6" customWidth="1"/>
    <col min="5" max="5" width="21.109375" style="6" customWidth="1"/>
    <col min="6" max="6" width="24.6640625" style="6" customWidth="1"/>
    <col min="7" max="7" width="23.5546875" style="6" customWidth="1"/>
    <col min="8" max="8" width="32.33203125" style="6" customWidth="1"/>
    <col min="9" max="13" width="0" style="6" hidden="1" customWidth="1"/>
    <col min="14" max="16384" width="8.88671875" style="6"/>
  </cols>
  <sheetData>
    <row r="1" spans="2:8" x14ac:dyDescent="0.3">
      <c r="H1" s="20" t="s">
        <v>19</v>
      </c>
    </row>
    <row r="2" spans="2:8" x14ac:dyDescent="0.3">
      <c r="H2" s="22" t="s">
        <v>20</v>
      </c>
    </row>
    <row r="3" spans="2:8" x14ac:dyDescent="0.3">
      <c r="H3" s="22" t="s">
        <v>21</v>
      </c>
    </row>
    <row r="4" spans="2:8" x14ac:dyDescent="0.3">
      <c r="H4" s="22" t="s">
        <v>22</v>
      </c>
    </row>
    <row r="5" spans="2:8" ht="24.6" x14ac:dyDescent="0.3">
      <c r="E5" s="23" t="s">
        <v>23</v>
      </c>
    </row>
    <row r="6" spans="2:8" ht="15.6" customHeight="1" x14ac:dyDescent="0.3">
      <c r="E6" s="24" t="s">
        <v>24</v>
      </c>
    </row>
    <row r="8" spans="2:8" ht="15.75" customHeight="1" x14ac:dyDescent="0.3">
      <c r="B8" s="67" t="s">
        <v>0</v>
      </c>
      <c r="C8" s="67"/>
      <c r="G8" s="67" t="s">
        <v>1</v>
      </c>
      <c r="H8" s="67"/>
    </row>
    <row r="9" spans="2:8" x14ac:dyDescent="0.3">
      <c r="B9" s="1" t="s">
        <v>2</v>
      </c>
      <c r="C9" s="2" t="s">
        <v>443</v>
      </c>
      <c r="G9" s="1" t="s">
        <v>25</v>
      </c>
      <c r="H9" s="2"/>
    </row>
    <row r="10" spans="2:8" x14ac:dyDescent="0.3">
      <c r="B10" s="1" t="s">
        <v>3</v>
      </c>
      <c r="C10" s="2" t="s">
        <v>444</v>
      </c>
      <c r="G10" s="1" t="s">
        <v>3</v>
      </c>
      <c r="H10" s="2"/>
    </row>
    <row r="11" spans="2:8" x14ac:dyDescent="0.3">
      <c r="B11" s="1" t="s">
        <v>4</v>
      </c>
      <c r="C11" s="2" t="s">
        <v>445</v>
      </c>
      <c r="G11" s="1" t="s">
        <v>5</v>
      </c>
      <c r="H11" s="2"/>
    </row>
    <row r="12" spans="2:8" ht="28.8" x14ac:dyDescent="0.3">
      <c r="B12" s="1" t="s">
        <v>6</v>
      </c>
      <c r="C12" s="5" t="s">
        <v>446</v>
      </c>
      <c r="G12" s="1" t="s">
        <v>26</v>
      </c>
      <c r="H12" s="54"/>
    </row>
    <row r="13" spans="2:8" x14ac:dyDescent="0.3">
      <c r="B13" s="1" t="s">
        <v>5</v>
      </c>
      <c r="C13" s="3"/>
    </row>
    <row r="14" spans="2:8" x14ac:dyDescent="0.3">
      <c r="B14" s="1" t="s">
        <v>27</v>
      </c>
      <c r="C14" s="4"/>
    </row>
    <row r="16" spans="2:8" x14ac:dyDescent="0.3">
      <c r="B16" s="25" t="s">
        <v>28</v>
      </c>
    </row>
    <row r="17" spans="2:13" x14ac:dyDescent="0.3">
      <c r="B17" s="6" t="s">
        <v>29</v>
      </c>
    </row>
    <row r="18" spans="2:13" ht="15" thickBot="1" x14ac:dyDescent="0.35">
      <c r="B18" s="6" t="s">
        <v>30</v>
      </c>
    </row>
    <row r="19" spans="2:13" x14ac:dyDescent="0.3">
      <c r="B19" s="55" t="s">
        <v>31</v>
      </c>
      <c r="C19" s="55" t="s">
        <v>32</v>
      </c>
      <c r="D19" s="55" t="s">
        <v>33</v>
      </c>
      <c r="E19" s="55" t="s">
        <v>34</v>
      </c>
      <c r="F19" s="55" t="s">
        <v>35</v>
      </c>
      <c r="G19" s="55" t="s">
        <v>36</v>
      </c>
      <c r="H19" s="55" t="s">
        <v>37</v>
      </c>
      <c r="I19" s="56" t="s">
        <v>38</v>
      </c>
      <c r="J19" s="55" t="s">
        <v>39</v>
      </c>
      <c r="K19" s="57" t="s">
        <v>40</v>
      </c>
      <c r="L19" s="58" t="s">
        <v>41</v>
      </c>
      <c r="M19" s="58" t="s">
        <v>42</v>
      </c>
    </row>
  </sheetData>
  <sheetProtection insertRows="0" sort="0" autoFilter="0"/>
  <mergeCells count="2">
    <mergeCell ref="B8:C8"/>
    <mergeCell ref="G8:H8"/>
  </mergeCells>
  <dataValidations count="2">
    <dataValidation type="date" allowBlank="1" showInputMessage="1" showErrorMessage="1" errorTitle="Date" error="Please enter a valid date" sqref="C13:C14" xr:uid="{0095DF8D-E9C0-4EB0-82A4-982DE890EC2F}">
      <formula1>367</formula1>
      <formula2>767010</formula2>
    </dataValidation>
    <dataValidation allowBlank="1" showInputMessage="1" errorTitle="Date" error="Please enter a valid date" sqref="H12" xr:uid="{7C4DAB0C-13E8-454D-819B-4CD4D6AF6786}"/>
  </dataValidations>
  <pageMargins left="0.25" right="0.25" top="0.75" bottom="0.75" header="0.3" footer="0.3"/>
  <pageSetup scale="70" fitToHeight="0" orientation="landscape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D6CA-6127-481B-BB33-DF3BC9AAA3F9}">
  <sheetPr codeName="Sheet5">
    <pageSetUpPr fitToPage="1"/>
  </sheetPr>
  <dimension ref="B1:M19"/>
  <sheetViews>
    <sheetView zoomScale="63" zoomScaleNormal="75" workbookViewId="0">
      <selection activeCell="B13" sqref="B13"/>
    </sheetView>
  </sheetViews>
  <sheetFormatPr defaultColWidth="8.88671875" defaultRowHeight="14.4" x14ac:dyDescent="0.3"/>
  <cols>
    <col min="1" max="1" width="4.33203125" style="6" customWidth="1"/>
    <col min="2" max="2" width="29" style="6" customWidth="1"/>
    <col min="3" max="4" width="29.6640625" style="6" customWidth="1"/>
    <col min="5" max="5" width="21.109375" style="6" customWidth="1"/>
    <col min="6" max="6" width="24.6640625" style="6" customWidth="1"/>
    <col min="7" max="7" width="23.5546875" style="6" customWidth="1"/>
    <col min="8" max="8" width="32.33203125" style="6" customWidth="1"/>
    <col min="9" max="13" width="0" style="6" hidden="1" customWidth="1"/>
    <col min="14" max="16384" width="8.88671875" style="6"/>
  </cols>
  <sheetData>
    <row r="1" spans="2:8" x14ac:dyDescent="0.3">
      <c r="H1" s="20" t="s">
        <v>19</v>
      </c>
    </row>
    <row r="2" spans="2:8" x14ac:dyDescent="0.3">
      <c r="H2" s="22" t="s">
        <v>20</v>
      </c>
    </row>
    <row r="3" spans="2:8" x14ac:dyDescent="0.3">
      <c r="H3" s="22" t="s">
        <v>21</v>
      </c>
    </row>
    <row r="4" spans="2:8" x14ac:dyDescent="0.3">
      <c r="H4" s="22" t="s">
        <v>22</v>
      </c>
    </row>
    <row r="5" spans="2:8" ht="24.6" x14ac:dyDescent="0.3">
      <c r="E5" s="23" t="s">
        <v>43</v>
      </c>
    </row>
    <row r="6" spans="2:8" ht="15.6" x14ac:dyDescent="0.3">
      <c r="E6" s="24"/>
    </row>
    <row r="8" spans="2:8" ht="15.75" customHeight="1" x14ac:dyDescent="0.3">
      <c r="B8" s="67" t="s">
        <v>0</v>
      </c>
      <c r="C8" s="67"/>
      <c r="G8" s="67" t="s">
        <v>1</v>
      </c>
      <c r="H8" s="67"/>
    </row>
    <row r="9" spans="2:8" x14ac:dyDescent="0.3">
      <c r="B9" s="1" t="s">
        <v>2</v>
      </c>
      <c r="C9" s="2" t="s">
        <v>443</v>
      </c>
      <c r="G9" s="1" t="s">
        <v>25</v>
      </c>
      <c r="H9" s="2"/>
    </row>
    <row r="10" spans="2:8" x14ac:dyDescent="0.3">
      <c r="B10" s="1" t="s">
        <v>3</v>
      </c>
      <c r="C10" s="2" t="s">
        <v>444</v>
      </c>
      <c r="G10" s="1" t="s">
        <v>3</v>
      </c>
      <c r="H10" s="2"/>
    </row>
    <row r="11" spans="2:8" x14ac:dyDescent="0.3">
      <c r="B11" s="1" t="s">
        <v>4</v>
      </c>
      <c r="C11" s="2" t="s">
        <v>445</v>
      </c>
      <c r="G11" s="1" t="s">
        <v>5</v>
      </c>
      <c r="H11" s="2"/>
    </row>
    <row r="12" spans="2:8" ht="28.8" x14ac:dyDescent="0.3">
      <c r="B12" s="1" t="s">
        <v>6</v>
      </c>
      <c r="C12" s="5" t="s">
        <v>446</v>
      </c>
      <c r="G12" s="1" t="s">
        <v>26</v>
      </c>
      <c r="H12" s="54"/>
    </row>
    <row r="13" spans="2:8" x14ac:dyDescent="0.3">
      <c r="B13" s="1" t="s">
        <v>5</v>
      </c>
      <c r="C13" s="61"/>
    </row>
    <row r="14" spans="2:8" x14ac:dyDescent="0.3">
      <c r="B14" s="1" t="s">
        <v>27</v>
      </c>
      <c r="C14" s="2"/>
    </row>
    <row r="16" spans="2:8" x14ac:dyDescent="0.3">
      <c r="B16" s="25" t="s">
        <v>28</v>
      </c>
    </row>
    <row r="17" spans="2:13" x14ac:dyDescent="0.3">
      <c r="B17" s="6" t="s">
        <v>29</v>
      </c>
    </row>
    <row r="18" spans="2:13" ht="15" thickBot="1" x14ac:dyDescent="0.35">
      <c r="B18" s="6" t="s">
        <v>30</v>
      </c>
    </row>
    <row r="19" spans="2:13" x14ac:dyDescent="0.3">
      <c r="B19" s="55" t="s">
        <v>32</v>
      </c>
      <c r="C19" s="55" t="s">
        <v>33</v>
      </c>
      <c r="D19" s="55" t="s">
        <v>34</v>
      </c>
      <c r="E19" s="55" t="s">
        <v>44</v>
      </c>
      <c r="F19" s="55" t="s">
        <v>45</v>
      </c>
      <c r="G19" s="55" t="s">
        <v>46</v>
      </c>
      <c r="H19" s="55" t="s">
        <v>47</v>
      </c>
      <c r="I19" s="55" t="s">
        <v>37</v>
      </c>
      <c r="J19" s="55" t="s">
        <v>39</v>
      </c>
      <c r="K19" s="59" t="s">
        <v>40</v>
      </c>
      <c r="L19" s="60" t="s">
        <v>41</v>
      </c>
      <c r="M19" s="60" t="s">
        <v>42</v>
      </c>
    </row>
  </sheetData>
  <sheetProtection insertRows="0" sort="0" autoFilter="0"/>
  <mergeCells count="2">
    <mergeCell ref="B8:C8"/>
    <mergeCell ref="G8:H8"/>
  </mergeCells>
  <dataValidations count="2">
    <dataValidation allowBlank="1" showInputMessage="1" errorTitle="Date" error="Please enter a valid date" sqref="H12" xr:uid="{2208136A-7630-421E-BE61-1F6AAA2C6CE6}"/>
    <dataValidation type="date" allowBlank="1" showInputMessage="1" showErrorMessage="1" errorTitle="Date" error="Please enter a valid date" sqref="C13:C14" xr:uid="{160DDAFD-A25C-40FE-982A-D7602C94771F}">
      <formula1>367</formula1>
      <formula2>767010</formula2>
    </dataValidation>
  </dataValidations>
  <pageMargins left="0.25" right="0.25" top="0.75" bottom="0.75" header="0.3" footer="0.3"/>
  <pageSetup scale="70" fitToHeight="0" orientation="landscape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EEDA-5970-4F7F-B85B-A6042BFAC1FB}">
  <sheetPr codeName="Sheet4">
    <pageSetUpPr fitToPage="1"/>
  </sheetPr>
  <dimension ref="A1:I19"/>
  <sheetViews>
    <sheetView zoomScale="75" zoomScaleNormal="75" workbookViewId="0">
      <selection activeCell="B13" sqref="B13"/>
    </sheetView>
  </sheetViews>
  <sheetFormatPr defaultColWidth="19.88671875" defaultRowHeight="14.4" x14ac:dyDescent="0.3"/>
  <cols>
    <col min="1" max="1" width="3.33203125" customWidth="1"/>
    <col min="3" max="3" width="32.44140625" customWidth="1"/>
    <col min="4" max="4" width="22.33203125" customWidth="1"/>
    <col min="6" max="6" width="15.88671875" customWidth="1"/>
    <col min="8" max="8" width="42.6640625" customWidth="1"/>
    <col min="9" max="9" width="50.6640625" customWidth="1"/>
  </cols>
  <sheetData>
    <row r="1" spans="1:9" x14ac:dyDescent="0.3">
      <c r="H1" s="20" t="s">
        <v>19</v>
      </c>
    </row>
    <row r="2" spans="1:9" x14ac:dyDescent="0.3">
      <c r="H2" s="21" t="s">
        <v>20</v>
      </c>
    </row>
    <row r="3" spans="1:9" x14ac:dyDescent="0.3">
      <c r="A3" s="26"/>
      <c r="H3" s="22" t="s">
        <v>21</v>
      </c>
    </row>
    <row r="4" spans="1:9" x14ac:dyDescent="0.3">
      <c r="A4" s="26"/>
      <c r="H4" s="22" t="s">
        <v>22</v>
      </c>
    </row>
    <row r="5" spans="1:9" ht="24.6" x14ac:dyDescent="0.3">
      <c r="A5" s="26"/>
      <c r="B5" s="6"/>
      <c r="C5" s="6"/>
      <c r="D5" s="6"/>
      <c r="E5" s="23" t="s">
        <v>48</v>
      </c>
      <c r="F5" s="6"/>
      <c r="G5" s="6"/>
      <c r="H5" s="6"/>
      <c r="I5" s="6"/>
    </row>
    <row r="6" spans="1:9" x14ac:dyDescent="0.3">
      <c r="A6" s="26"/>
      <c r="B6" s="6"/>
      <c r="C6" s="6"/>
      <c r="D6" s="6"/>
      <c r="E6" s="6"/>
      <c r="F6" s="6"/>
      <c r="G6" s="6"/>
      <c r="H6" s="6"/>
      <c r="I6" s="6"/>
    </row>
    <row r="7" spans="1:9" x14ac:dyDescent="0.3">
      <c r="A7" s="26"/>
      <c r="B7" s="6"/>
      <c r="C7" s="6"/>
      <c r="D7" s="6"/>
      <c r="E7" s="6"/>
      <c r="F7" s="6"/>
      <c r="G7" s="6"/>
      <c r="H7" s="6"/>
      <c r="I7" s="6"/>
    </row>
    <row r="8" spans="1:9" x14ac:dyDescent="0.3">
      <c r="A8" s="68"/>
      <c r="B8" s="66" t="s">
        <v>0</v>
      </c>
      <c r="C8" s="66"/>
      <c r="D8" s="6"/>
      <c r="E8" s="6"/>
      <c r="F8" s="6"/>
      <c r="G8" s="66" t="s">
        <v>1</v>
      </c>
      <c r="H8" s="66"/>
      <c r="I8" s="6"/>
    </row>
    <row r="9" spans="1:9" x14ac:dyDescent="0.3">
      <c r="A9" s="68"/>
      <c r="B9" s="15" t="s">
        <v>2</v>
      </c>
      <c r="C9" s="2" t="s">
        <v>443</v>
      </c>
      <c r="D9" s="6"/>
      <c r="E9" s="6"/>
      <c r="F9" s="6"/>
      <c r="G9" s="15" t="s">
        <v>25</v>
      </c>
      <c r="H9" s="2"/>
      <c r="I9" s="6"/>
    </row>
    <row r="10" spans="1:9" x14ac:dyDescent="0.3">
      <c r="A10" s="68"/>
      <c r="B10" s="15" t="s">
        <v>3</v>
      </c>
      <c r="C10" s="2" t="s">
        <v>444</v>
      </c>
      <c r="D10" s="6"/>
      <c r="E10" s="6"/>
      <c r="F10" s="6"/>
      <c r="G10" s="15" t="s">
        <v>3</v>
      </c>
      <c r="H10" s="2"/>
      <c r="I10" s="6"/>
    </row>
    <row r="11" spans="1:9" x14ac:dyDescent="0.3">
      <c r="A11" s="68"/>
      <c r="B11" s="15" t="s">
        <v>4</v>
      </c>
      <c r="C11" s="2" t="s">
        <v>445</v>
      </c>
      <c r="D11" s="6"/>
      <c r="E11" s="6"/>
      <c r="F11" s="6"/>
      <c r="G11" s="15" t="s">
        <v>5</v>
      </c>
      <c r="H11" s="2"/>
      <c r="I11" s="6"/>
    </row>
    <row r="12" spans="1:9" ht="28.8" x14ac:dyDescent="0.3">
      <c r="A12" s="68"/>
      <c r="B12" s="15" t="s">
        <v>6</v>
      </c>
      <c r="C12" s="5" t="s">
        <v>446</v>
      </c>
      <c r="D12" s="6"/>
      <c r="E12" s="6"/>
      <c r="F12" s="6"/>
      <c r="G12" s="15" t="s">
        <v>26</v>
      </c>
      <c r="H12" s="49"/>
      <c r="I12" s="6"/>
    </row>
    <row r="13" spans="1:9" x14ac:dyDescent="0.3">
      <c r="A13" s="68"/>
      <c r="B13" s="15" t="s">
        <v>5</v>
      </c>
      <c r="C13" s="62"/>
      <c r="D13" s="6"/>
      <c r="E13" s="6"/>
      <c r="F13" s="6"/>
      <c r="G13" s="6"/>
      <c r="H13" s="6"/>
      <c r="I13" s="6"/>
    </row>
    <row r="14" spans="1:9" x14ac:dyDescent="0.3">
      <c r="A14" s="68"/>
      <c r="B14" s="15" t="s">
        <v>27</v>
      </c>
      <c r="C14" s="2"/>
      <c r="D14" s="6"/>
      <c r="E14" s="6"/>
      <c r="F14" s="6"/>
      <c r="G14" s="6"/>
      <c r="H14" s="6"/>
      <c r="I14" s="6"/>
    </row>
    <row r="15" spans="1:9" x14ac:dyDescent="0.3">
      <c r="A15" s="68"/>
      <c r="B15" s="6"/>
      <c r="C15" s="6"/>
      <c r="D15" s="6"/>
      <c r="E15" s="6"/>
      <c r="F15" s="6"/>
      <c r="G15" s="6"/>
      <c r="H15" s="6"/>
      <c r="I15" s="6"/>
    </row>
    <row r="16" spans="1:9" x14ac:dyDescent="0.3">
      <c r="A16" s="68"/>
      <c r="B16" s="25" t="s">
        <v>49</v>
      </c>
      <c r="C16" s="6"/>
      <c r="D16" s="6"/>
      <c r="E16" s="6"/>
      <c r="F16" s="6"/>
      <c r="G16" s="6"/>
      <c r="H16" s="6"/>
      <c r="I16" s="6"/>
    </row>
    <row r="17" spans="1:9" x14ac:dyDescent="0.3">
      <c r="A17" s="68"/>
      <c r="B17" s="6" t="s">
        <v>29</v>
      </c>
      <c r="C17" s="6"/>
      <c r="D17" s="6"/>
      <c r="E17" s="6"/>
      <c r="F17" s="6"/>
      <c r="G17" s="6"/>
      <c r="H17" s="6"/>
      <c r="I17" s="6"/>
    </row>
    <row r="18" spans="1:9" ht="15" thickBot="1" x14ac:dyDescent="0.35">
      <c r="A18" s="68"/>
      <c r="B18" s="6" t="s">
        <v>30</v>
      </c>
      <c r="C18" s="6"/>
      <c r="D18" s="6"/>
      <c r="E18" s="6"/>
      <c r="F18" s="6"/>
      <c r="G18" s="6"/>
      <c r="H18" s="6"/>
      <c r="I18" s="6"/>
    </row>
    <row r="19" spans="1:9" x14ac:dyDescent="0.3">
      <c r="A19" s="27" t="s">
        <v>38</v>
      </c>
      <c r="B19" s="28" t="s">
        <v>50</v>
      </c>
      <c r="C19" s="28" t="s">
        <v>32</v>
      </c>
      <c r="D19" s="28" t="s">
        <v>51</v>
      </c>
      <c r="E19" s="28" t="s">
        <v>52</v>
      </c>
      <c r="F19" s="28" t="s">
        <v>34</v>
      </c>
      <c r="G19" s="28" t="s">
        <v>33</v>
      </c>
      <c r="H19" s="28" t="s">
        <v>53</v>
      </c>
      <c r="I19" s="28" t="s">
        <v>54</v>
      </c>
    </row>
  </sheetData>
  <sheetProtection insertRows="0" sort="0" autoFilter="0"/>
  <mergeCells count="3">
    <mergeCell ref="A8:A18"/>
    <mergeCell ref="B8:C8"/>
    <mergeCell ref="G8:H8"/>
  </mergeCells>
  <dataValidations count="2">
    <dataValidation type="date" allowBlank="1" showInputMessage="1" showErrorMessage="1" errorTitle="Date" error="Please enter a valid date" sqref="C13:C14" xr:uid="{68A057F1-A889-4FC2-AAB4-155594CC5BBC}">
      <formula1>367</formula1>
      <formula2>767010</formula2>
    </dataValidation>
    <dataValidation allowBlank="1" showInputMessage="1" errorTitle="Date" error="Please enter a valid date" sqref="H12" xr:uid="{015E8597-4EB4-4E6C-95DF-D12242116A4C}"/>
  </dataValidations>
  <pageMargins left="0.7" right="0.7" top="0.75" bottom="0.75" header="0.3" footer="0.3"/>
  <pageSetup scale="54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115A-7E3F-49C0-A55F-CF819DD9EE27}">
  <sheetPr codeName="Sheet6"/>
  <dimension ref="B1:H19"/>
  <sheetViews>
    <sheetView zoomScale="93" zoomScaleNormal="130" workbookViewId="0">
      <selection activeCell="H8" sqref="H8"/>
    </sheetView>
  </sheetViews>
  <sheetFormatPr defaultColWidth="19.88671875" defaultRowHeight="14.4" x14ac:dyDescent="0.3"/>
  <cols>
    <col min="1" max="1" width="2.5546875" customWidth="1"/>
    <col min="2" max="2" width="20.77734375" customWidth="1"/>
    <col min="3" max="3" width="32.44140625" customWidth="1"/>
    <col min="6" max="6" width="15.88671875" customWidth="1"/>
    <col min="7" max="7" width="23.5546875" customWidth="1"/>
    <col min="8" max="8" width="26.88671875" customWidth="1"/>
  </cols>
  <sheetData>
    <row r="1" spans="2:8" x14ac:dyDescent="0.3">
      <c r="H1" s="20"/>
    </row>
    <row r="2" spans="2:8" x14ac:dyDescent="0.3">
      <c r="H2" s="21"/>
    </row>
    <row r="3" spans="2:8" x14ac:dyDescent="0.3">
      <c r="H3" s="22"/>
    </row>
    <row r="4" spans="2:8" x14ac:dyDescent="0.3">
      <c r="H4" s="22"/>
    </row>
    <row r="5" spans="2:8" ht="24.6" x14ac:dyDescent="0.3">
      <c r="B5" s="6"/>
      <c r="C5" s="6"/>
      <c r="D5" s="6"/>
      <c r="E5" s="23"/>
      <c r="F5" s="6"/>
      <c r="G5" s="6"/>
      <c r="H5" s="6"/>
    </row>
    <row r="6" spans="2:8" x14ac:dyDescent="0.3">
      <c r="B6" s="6"/>
      <c r="C6" s="6"/>
      <c r="D6" s="6"/>
      <c r="E6" s="6"/>
      <c r="F6" s="6"/>
      <c r="G6" s="6"/>
      <c r="H6" s="6"/>
    </row>
    <row r="7" spans="2:8" x14ac:dyDescent="0.3">
      <c r="B7" s="6"/>
      <c r="C7" s="6"/>
      <c r="D7" s="6"/>
      <c r="E7" s="6"/>
      <c r="F7" s="6"/>
      <c r="G7" s="6"/>
      <c r="H7" s="6"/>
    </row>
    <row r="8" spans="2:8" x14ac:dyDescent="0.3">
      <c r="B8" s="66" t="s">
        <v>0</v>
      </c>
      <c r="C8" s="66"/>
      <c r="D8" s="6"/>
      <c r="E8" s="6"/>
      <c r="F8" s="6"/>
      <c r="G8" s="62"/>
      <c r="H8" s="62"/>
    </row>
    <row r="9" spans="2:8" x14ac:dyDescent="0.3">
      <c r="B9" s="15" t="s">
        <v>2</v>
      </c>
      <c r="C9" s="2" t="s">
        <v>443</v>
      </c>
      <c r="D9" s="6"/>
      <c r="E9" s="6"/>
      <c r="F9" s="6"/>
      <c r="G9" s="15" t="s">
        <v>26</v>
      </c>
      <c r="H9" s="50"/>
    </row>
    <row r="10" spans="2:8" x14ac:dyDescent="0.3">
      <c r="B10" s="15" t="s">
        <v>3</v>
      </c>
      <c r="C10" s="2" t="s">
        <v>444</v>
      </c>
      <c r="D10" s="6"/>
      <c r="E10" s="6"/>
      <c r="F10" s="6"/>
    </row>
    <row r="11" spans="2:8" x14ac:dyDescent="0.3">
      <c r="B11" s="15" t="s">
        <v>4</v>
      </c>
      <c r="C11" s="2" t="s">
        <v>445</v>
      </c>
      <c r="D11" s="6"/>
      <c r="E11" s="6"/>
      <c r="F11" s="6"/>
    </row>
    <row r="12" spans="2:8" ht="28.8" x14ac:dyDescent="0.3">
      <c r="B12" s="15" t="s">
        <v>6</v>
      </c>
      <c r="C12" s="5" t="s">
        <v>446</v>
      </c>
      <c r="D12" s="6"/>
      <c r="E12" s="6"/>
      <c r="F12" s="6"/>
    </row>
    <row r="13" spans="2:8" x14ac:dyDescent="0.3">
      <c r="B13" s="15" t="s">
        <v>5</v>
      </c>
      <c r="C13" s="62"/>
      <c r="D13" s="6"/>
      <c r="E13" s="6"/>
      <c r="F13" s="6"/>
      <c r="G13" s="6"/>
      <c r="H13" s="6"/>
    </row>
    <row r="14" spans="2:8" x14ac:dyDescent="0.3">
      <c r="B14" s="15" t="s">
        <v>27</v>
      </c>
      <c r="C14" s="2"/>
      <c r="D14" s="6"/>
      <c r="E14" s="6"/>
      <c r="F14" s="6"/>
      <c r="G14" s="6"/>
      <c r="H14" s="6"/>
    </row>
    <row r="15" spans="2:8" x14ac:dyDescent="0.3">
      <c r="B15" s="6"/>
      <c r="C15" s="6"/>
      <c r="D15" s="6"/>
      <c r="E15" s="6"/>
      <c r="F15" s="6"/>
      <c r="G15" s="6"/>
      <c r="H15" s="6"/>
    </row>
    <row r="16" spans="2:8" x14ac:dyDescent="0.3">
      <c r="B16" s="25" t="s">
        <v>49</v>
      </c>
      <c r="C16" s="6"/>
      <c r="D16" s="6"/>
      <c r="E16" s="6"/>
      <c r="F16" s="6"/>
      <c r="G16" s="6"/>
      <c r="H16" s="6"/>
    </row>
    <row r="17" spans="2:8" x14ac:dyDescent="0.3">
      <c r="B17" s="6" t="s">
        <v>29</v>
      </c>
      <c r="C17" s="6"/>
      <c r="D17" s="6"/>
      <c r="E17" s="6"/>
      <c r="F17" s="6"/>
      <c r="G17" s="6"/>
      <c r="H17" s="6"/>
    </row>
    <row r="18" spans="2:8" ht="15" thickBot="1" x14ac:dyDescent="0.35">
      <c r="B18" s="6" t="s">
        <v>30</v>
      </c>
      <c r="C18" s="6"/>
      <c r="D18" s="6"/>
      <c r="E18" s="6"/>
      <c r="F18" s="6"/>
      <c r="G18" s="6"/>
      <c r="H18" s="6"/>
    </row>
    <row r="19" spans="2:8" x14ac:dyDescent="0.3">
      <c r="B19" s="28" t="s">
        <v>31</v>
      </c>
      <c r="C19" s="28" t="s">
        <v>32</v>
      </c>
      <c r="D19" s="28" t="s">
        <v>33</v>
      </c>
      <c r="E19" s="28" t="s">
        <v>34</v>
      </c>
      <c r="F19" s="28" t="s">
        <v>35</v>
      </c>
      <c r="G19" s="28" t="s">
        <v>36</v>
      </c>
      <c r="H19" s="28" t="s">
        <v>37</v>
      </c>
    </row>
  </sheetData>
  <sheetProtection insertRows="0" sort="0" autoFilter="0"/>
  <mergeCells count="1">
    <mergeCell ref="B8:C8"/>
  </mergeCells>
  <dataValidations count="2">
    <dataValidation allowBlank="1" showInputMessage="1" errorTitle="Date" error="Please enter a valid date" sqref="H9" xr:uid="{D3EB9B87-3E54-4529-8A88-876D2FCD49AE}"/>
    <dataValidation type="date" allowBlank="1" showInputMessage="1" showErrorMessage="1" errorTitle="Date" error="Please enter a valid date" sqref="C13:C14" xr:uid="{01FA3907-FBFF-4294-AA7A-AD586C89201A}">
      <formula1>367</formula1>
      <formula2>767010</formula2>
    </dataValidation>
  </dataValidations>
  <pageMargins left="0.7" right="0.7" top="0.75" bottom="0.75" header="0.3" footer="0.3"/>
  <pageSetup scale="7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1ACA-E27D-444B-81E0-9776A6CF9134}">
  <sheetPr codeName="Sheet7"/>
  <dimension ref="A1:F1021"/>
  <sheetViews>
    <sheetView zoomScale="80" zoomScaleNormal="80" workbookViewId="0">
      <pane ySplit="1" topLeftCell="A72" activePane="bottomLeft" state="frozen"/>
      <selection activeCell="B21" sqref="B21"/>
      <selection pane="bottomLeft" activeCell="B21" sqref="B21"/>
    </sheetView>
  </sheetViews>
  <sheetFormatPr defaultColWidth="9.109375" defaultRowHeight="15" x14ac:dyDescent="0.25"/>
  <cols>
    <col min="1" max="1" width="22.44140625" style="46" bestFit="1" customWidth="1"/>
    <col min="2" max="2" width="26.44140625" style="46" bestFit="1" customWidth="1"/>
    <col min="3" max="3" width="47.88671875" style="46" bestFit="1" customWidth="1"/>
    <col min="4" max="4" width="87.88671875" style="47" bestFit="1" customWidth="1"/>
    <col min="5" max="5" width="24.5546875" style="47" bestFit="1" customWidth="1"/>
    <col min="6" max="6" width="58" style="48" bestFit="1" customWidth="1"/>
    <col min="7" max="16384" width="9.109375" style="35"/>
  </cols>
  <sheetData>
    <row r="1" spans="1:6" s="31" customFormat="1" ht="31.2" x14ac:dyDescent="0.3">
      <c r="A1" s="29" t="s">
        <v>55</v>
      </c>
      <c r="B1" s="29" t="s">
        <v>56</v>
      </c>
      <c r="C1" s="29" t="s">
        <v>57</v>
      </c>
      <c r="D1" s="29" t="s">
        <v>58</v>
      </c>
      <c r="E1" s="29" t="s">
        <v>59</v>
      </c>
      <c r="F1" s="30" t="s">
        <v>60</v>
      </c>
    </row>
    <row r="2" spans="1:6" x14ac:dyDescent="0.25">
      <c r="A2" s="32" t="s">
        <v>61</v>
      </c>
      <c r="B2" s="32" t="s">
        <v>62</v>
      </c>
      <c r="C2" s="32" t="s">
        <v>63</v>
      </c>
      <c r="D2" s="33" t="s">
        <v>64</v>
      </c>
      <c r="E2" s="33" t="s">
        <v>65</v>
      </c>
      <c r="F2" s="34" t="s">
        <v>66</v>
      </c>
    </row>
    <row r="3" spans="1:6" x14ac:dyDescent="0.25">
      <c r="A3" s="32" t="s">
        <v>61</v>
      </c>
      <c r="B3" s="32" t="s">
        <v>67</v>
      </c>
      <c r="C3" s="32" t="s">
        <v>68</v>
      </c>
      <c r="D3" s="33" t="s">
        <v>68</v>
      </c>
      <c r="E3" s="33" t="s">
        <v>65</v>
      </c>
      <c r="F3" s="34" t="s">
        <v>69</v>
      </c>
    </row>
    <row r="4" spans="1:6" x14ac:dyDescent="0.25">
      <c r="A4" s="32" t="s">
        <v>61</v>
      </c>
      <c r="B4" s="32" t="s">
        <v>70</v>
      </c>
      <c r="C4" s="32" t="s">
        <v>71</v>
      </c>
      <c r="D4" s="33" t="s">
        <v>72</v>
      </c>
      <c r="E4" s="33" t="s">
        <v>65</v>
      </c>
      <c r="F4" s="34"/>
    </row>
    <row r="5" spans="1:6" x14ac:dyDescent="0.25">
      <c r="A5" s="32" t="s">
        <v>61</v>
      </c>
      <c r="B5" s="32" t="s">
        <v>73</v>
      </c>
      <c r="C5" s="32" t="s">
        <v>74</v>
      </c>
      <c r="D5" s="33" t="s">
        <v>75</v>
      </c>
      <c r="E5" s="33" t="s">
        <v>65</v>
      </c>
      <c r="F5" s="34"/>
    </row>
    <row r="6" spans="1:6" x14ac:dyDescent="0.25">
      <c r="A6" s="32" t="s">
        <v>76</v>
      </c>
      <c r="B6" s="32" t="s">
        <v>77</v>
      </c>
      <c r="C6" s="32" t="s">
        <v>78</v>
      </c>
      <c r="D6" s="33" t="s">
        <v>79</v>
      </c>
      <c r="E6" s="33" t="s">
        <v>65</v>
      </c>
      <c r="F6" s="34"/>
    </row>
    <row r="7" spans="1:6" x14ac:dyDescent="0.25">
      <c r="A7" s="32" t="s">
        <v>76</v>
      </c>
      <c r="B7" s="32" t="s">
        <v>80</v>
      </c>
      <c r="C7" s="32" t="s">
        <v>81</v>
      </c>
      <c r="D7" s="33" t="s">
        <v>82</v>
      </c>
      <c r="E7" s="33" t="s">
        <v>65</v>
      </c>
      <c r="F7" s="34" t="s">
        <v>83</v>
      </c>
    </row>
    <row r="8" spans="1:6" x14ac:dyDescent="0.25">
      <c r="A8" s="32" t="s">
        <v>76</v>
      </c>
      <c r="B8" s="32" t="s">
        <v>84</v>
      </c>
      <c r="C8" s="32" t="s">
        <v>85</v>
      </c>
      <c r="D8" s="33" t="s">
        <v>86</v>
      </c>
      <c r="E8" s="33" t="s">
        <v>65</v>
      </c>
      <c r="F8" s="34" t="s">
        <v>87</v>
      </c>
    </row>
    <row r="9" spans="1:6" x14ac:dyDescent="0.25">
      <c r="A9" s="32" t="s">
        <v>76</v>
      </c>
      <c r="B9" s="32" t="s">
        <v>88</v>
      </c>
      <c r="C9" s="32" t="s">
        <v>89</v>
      </c>
      <c r="D9" s="33" t="s">
        <v>90</v>
      </c>
      <c r="E9" s="33" t="s">
        <v>65</v>
      </c>
      <c r="F9" s="34" t="s">
        <v>91</v>
      </c>
    </row>
    <row r="10" spans="1:6" x14ac:dyDescent="0.25">
      <c r="A10" s="32" t="s">
        <v>76</v>
      </c>
      <c r="B10" s="32" t="s">
        <v>92</v>
      </c>
      <c r="C10" s="32" t="s">
        <v>93</v>
      </c>
      <c r="D10" s="33" t="s">
        <v>94</v>
      </c>
      <c r="E10" s="33" t="s">
        <v>65</v>
      </c>
      <c r="F10" s="34" t="s">
        <v>95</v>
      </c>
    </row>
    <row r="11" spans="1:6" x14ac:dyDescent="0.25">
      <c r="A11" s="32" t="s">
        <v>76</v>
      </c>
      <c r="B11" s="32" t="s">
        <v>96</v>
      </c>
      <c r="C11" s="32" t="s">
        <v>97</v>
      </c>
      <c r="D11" s="33" t="s">
        <v>98</v>
      </c>
      <c r="E11" s="33" t="s">
        <v>65</v>
      </c>
      <c r="F11" s="34" t="s">
        <v>99</v>
      </c>
    </row>
    <row r="12" spans="1:6" x14ac:dyDescent="0.25">
      <c r="A12" s="32" t="s">
        <v>76</v>
      </c>
      <c r="B12" s="32" t="s">
        <v>100</v>
      </c>
      <c r="C12" s="32" t="s">
        <v>101</v>
      </c>
      <c r="D12" s="33" t="s">
        <v>102</v>
      </c>
      <c r="E12" s="33" t="s">
        <v>65</v>
      </c>
      <c r="F12" s="34"/>
    </row>
    <row r="13" spans="1:6" x14ac:dyDescent="0.25">
      <c r="A13" s="32" t="s">
        <v>76</v>
      </c>
      <c r="B13" s="32" t="s">
        <v>103</v>
      </c>
      <c r="C13" s="32" t="s">
        <v>104</v>
      </c>
      <c r="D13" s="33" t="s">
        <v>105</v>
      </c>
      <c r="E13" s="33" t="s">
        <v>65</v>
      </c>
      <c r="F13" s="34" t="s">
        <v>106</v>
      </c>
    </row>
    <row r="14" spans="1:6" x14ac:dyDescent="0.25">
      <c r="A14" s="32" t="s">
        <v>107</v>
      </c>
      <c r="B14" s="32" t="s">
        <v>108</v>
      </c>
      <c r="C14" s="32" t="s">
        <v>107</v>
      </c>
      <c r="D14" s="33" t="s">
        <v>109</v>
      </c>
      <c r="E14" s="33" t="s">
        <v>65</v>
      </c>
      <c r="F14" s="34" t="s">
        <v>110</v>
      </c>
    </row>
    <row r="15" spans="1:6" x14ac:dyDescent="0.25">
      <c r="A15" s="32" t="s">
        <v>111</v>
      </c>
      <c r="B15" s="32" t="s">
        <v>112</v>
      </c>
      <c r="C15" s="32" t="s">
        <v>113</v>
      </c>
      <c r="D15" s="33" t="s">
        <v>114</v>
      </c>
      <c r="E15" s="33" t="s">
        <v>65</v>
      </c>
      <c r="F15" s="34" t="s">
        <v>115</v>
      </c>
    </row>
    <row r="16" spans="1:6" x14ac:dyDescent="0.25">
      <c r="A16" s="32" t="s">
        <v>111</v>
      </c>
      <c r="B16" s="32" t="s">
        <v>116</v>
      </c>
      <c r="C16" s="32" t="s">
        <v>117</v>
      </c>
      <c r="D16" s="33" t="s">
        <v>118</v>
      </c>
      <c r="E16" s="33" t="s">
        <v>65</v>
      </c>
      <c r="F16" s="34" t="s">
        <v>119</v>
      </c>
    </row>
    <row r="17" spans="1:6" x14ac:dyDescent="0.25">
      <c r="A17" s="32" t="s">
        <v>111</v>
      </c>
      <c r="B17" s="32" t="s">
        <v>120</v>
      </c>
      <c r="C17" s="32" t="s">
        <v>121</v>
      </c>
      <c r="D17" s="33" t="s">
        <v>122</v>
      </c>
      <c r="E17" s="33" t="s">
        <v>65</v>
      </c>
      <c r="F17" s="34" t="s">
        <v>123</v>
      </c>
    </row>
    <row r="18" spans="1:6" x14ac:dyDescent="0.25">
      <c r="A18" s="32" t="s">
        <v>111</v>
      </c>
      <c r="B18" s="32" t="s">
        <v>124</v>
      </c>
      <c r="C18" s="32" t="s">
        <v>125</v>
      </c>
      <c r="D18" s="33" t="s">
        <v>126</v>
      </c>
      <c r="E18" s="33" t="s">
        <v>65</v>
      </c>
      <c r="F18" s="34"/>
    </row>
    <row r="19" spans="1:6" x14ac:dyDescent="0.25">
      <c r="A19" s="32" t="s">
        <v>111</v>
      </c>
      <c r="B19" s="32" t="s">
        <v>127</v>
      </c>
      <c r="C19" s="32" t="s">
        <v>128</v>
      </c>
      <c r="D19" s="33" t="s">
        <v>129</v>
      </c>
      <c r="E19" s="33" t="s">
        <v>65</v>
      </c>
      <c r="F19" s="34"/>
    </row>
    <row r="20" spans="1:6" x14ac:dyDescent="0.25">
      <c r="A20" s="32" t="s">
        <v>111</v>
      </c>
      <c r="B20" s="32" t="s">
        <v>130</v>
      </c>
      <c r="C20" s="32" t="s">
        <v>131</v>
      </c>
      <c r="D20" s="33" t="s">
        <v>132</v>
      </c>
      <c r="E20" s="33" t="s">
        <v>65</v>
      </c>
      <c r="F20" s="34"/>
    </row>
    <row r="21" spans="1:6" ht="30" x14ac:dyDescent="0.25">
      <c r="A21" s="32" t="s">
        <v>133</v>
      </c>
      <c r="B21" s="32" t="s">
        <v>134</v>
      </c>
      <c r="C21" s="32" t="s">
        <v>135</v>
      </c>
      <c r="D21" s="33" t="s">
        <v>136</v>
      </c>
      <c r="E21" s="33" t="s">
        <v>65</v>
      </c>
      <c r="F21" s="34" t="s">
        <v>137</v>
      </c>
    </row>
    <row r="22" spans="1:6" x14ac:dyDescent="0.25">
      <c r="A22" s="32" t="s">
        <v>133</v>
      </c>
      <c r="B22" s="32" t="s">
        <v>138</v>
      </c>
      <c r="C22" s="32" t="s">
        <v>139</v>
      </c>
      <c r="D22" s="33" t="s">
        <v>140</v>
      </c>
      <c r="E22" s="33" t="s">
        <v>65</v>
      </c>
      <c r="F22" s="34" t="s">
        <v>141</v>
      </c>
    </row>
    <row r="23" spans="1:6" x14ac:dyDescent="0.25">
      <c r="A23" s="32" t="s">
        <v>142</v>
      </c>
      <c r="B23" s="32" t="s">
        <v>143</v>
      </c>
      <c r="C23" s="32" t="s">
        <v>144</v>
      </c>
      <c r="D23" s="33" t="s">
        <v>145</v>
      </c>
      <c r="E23" s="33" t="s">
        <v>65</v>
      </c>
      <c r="F23" s="34" t="s">
        <v>146</v>
      </c>
    </row>
    <row r="24" spans="1:6" x14ac:dyDescent="0.25">
      <c r="A24" s="32" t="s">
        <v>133</v>
      </c>
      <c r="B24" s="32" t="s">
        <v>147</v>
      </c>
      <c r="C24" s="32" t="s">
        <v>148</v>
      </c>
      <c r="D24" s="33" t="s">
        <v>149</v>
      </c>
      <c r="E24" s="33" t="s">
        <v>65</v>
      </c>
      <c r="F24" s="34"/>
    </row>
    <row r="25" spans="1:6" x14ac:dyDescent="0.25">
      <c r="A25" s="32" t="s">
        <v>150</v>
      </c>
      <c r="B25" s="32" t="s">
        <v>151</v>
      </c>
      <c r="C25" s="32" t="s">
        <v>152</v>
      </c>
      <c r="D25" s="33" t="s">
        <v>153</v>
      </c>
      <c r="E25" s="33" t="s">
        <v>65</v>
      </c>
      <c r="F25" s="34"/>
    </row>
    <row r="26" spans="1:6" x14ac:dyDescent="0.25">
      <c r="A26" s="32" t="s">
        <v>150</v>
      </c>
      <c r="B26" s="32" t="s">
        <v>154</v>
      </c>
      <c r="C26" s="32" t="s">
        <v>155</v>
      </c>
      <c r="D26" s="33" t="s">
        <v>156</v>
      </c>
      <c r="E26" s="33" t="s">
        <v>65</v>
      </c>
      <c r="F26" s="34"/>
    </row>
    <row r="27" spans="1:6" x14ac:dyDescent="0.25">
      <c r="A27" s="32" t="s">
        <v>150</v>
      </c>
      <c r="B27" s="32" t="s">
        <v>157</v>
      </c>
      <c r="C27" s="32" t="s">
        <v>158</v>
      </c>
      <c r="D27" s="33" t="s">
        <v>159</v>
      </c>
      <c r="E27" s="33" t="s">
        <v>65</v>
      </c>
      <c r="F27" s="34"/>
    </row>
    <row r="28" spans="1:6" x14ac:dyDescent="0.25">
      <c r="A28" s="32" t="s">
        <v>160</v>
      </c>
      <c r="B28" s="32" t="s">
        <v>161</v>
      </c>
      <c r="C28" s="32" t="s">
        <v>162</v>
      </c>
      <c r="D28" s="33" t="s">
        <v>163</v>
      </c>
      <c r="E28" s="33" t="s">
        <v>65</v>
      </c>
      <c r="F28" s="34"/>
    </row>
    <row r="29" spans="1:6" x14ac:dyDescent="0.25">
      <c r="A29" s="32" t="s">
        <v>160</v>
      </c>
      <c r="B29" s="32" t="s">
        <v>164</v>
      </c>
      <c r="C29" s="32" t="s">
        <v>165</v>
      </c>
      <c r="D29" s="33" t="s">
        <v>166</v>
      </c>
      <c r="E29" s="33" t="s">
        <v>65</v>
      </c>
      <c r="F29" s="34" t="s">
        <v>167</v>
      </c>
    </row>
    <row r="30" spans="1:6" x14ac:dyDescent="0.25">
      <c r="A30" s="32" t="s">
        <v>160</v>
      </c>
      <c r="B30" s="32" t="s">
        <v>168</v>
      </c>
      <c r="C30" s="32" t="s">
        <v>169</v>
      </c>
      <c r="D30" s="33" t="s">
        <v>170</v>
      </c>
      <c r="E30" s="33" t="s">
        <v>65</v>
      </c>
      <c r="F30" s="34" t="s">
        <v>171</v>
      </c>
    </row>
    <row r="31" spans="1:6" ht="30" x14ac:dyDescent="0.25">
      <c r="A31" s="32" t="s">
        <v>172</v>
      </c>
      <c r="B31" s="32" t="s">
        <v>173</v>
      </c>
      <c r="C31" s="32" t="s">
        <v>174</v>
      </c>
      <c r="D31" s="33" t="s">
        <v>175</v>
      </c>
      <c r="E31" s="33" t="s">
        <v>65</v>
      </c>
      <c r="F31" s="34"/>
    </row>
    <row r="32" spans="1:6" x14ac:dyDescent="0.25">
      <c r="A32" s="32" t="s">
        <v>172</v>
      </c>
      <c r="B32" s="32" t="s">
        <v>176</v>
      </c>
      <c r="C32" s="32" t="s">
        <v>177</v>
      </c>
      <c r="D32" s="33" t="s">
        <v>178</v>
      </c>
      <c r="E32" s="33" t="s">
        <v>65</v>
      </c>
      <c r="F32" s="34"/>
    </row>
    <row r="33" spans="1:6" ht="30" x14ac:dyDescent="0.25">
      <c r="A33" s="32" t="s">
        <v>172</v>
      </c>
      <c r="B33" s="32" t="s">
        <v>179</v>
      </c>
      <c r="C33" s="32" t="s">
        <v>180</v>
      </c>
      <c r="D33" s="33" t="s">
        <v>181</v>
      </c>
      <c r="E33" s="33" t="s">
        <v>65</v>
      </c>
      <c r="F33" s="34" t="s">
        <v>182</v>
      </c>
    </row>
    <row r="34" spans="1:6" x14ac:dyDescent="0.25">
      <c r="A34" s="36" t="s">
        <v>183</v>
      </c>
      <c r="B34" s="36" t="s">
        <v>184</v>
      </c>
      <c r="C34" s="36" t="s">
        <v>185</v>
      </c>
      <c r="D34" s="37" t="s">
        <v>186</v>
      </c>
      <c r="E34" s="37" t="s">
        <v>65</v>
      </c>
      <c r="F34" s="38" t="s">
        <v>187</v>
      </c>
    </row>
    <row r="35" spans="1:6" x14ac:dyDescent="0.25">
      <c r="A35" s="36" t="s">
        <v>183</v>
      </c>
      <c r="B35" s="36" t="s">
        <v>188</v>
      </c>
      <c r="C35" s="36" t="s">
        <v>189</v>
      </c>
      <c r="D35" s="37" t="s">
        <v>190</v>
      </c>
      <c r="E35" s="37" t="s">
        <v>65</v>
      </c>
      <c r="F35" s="38" t="s">
        <v>187</v>
      </c>
    </row>
    <row r="36" spans="1:6" x14ac:dyDescent="0.25">
      <c r="A36" s="36" t="s">
        <v>183</v>
      </c>
      <c r="B36" s="36" t="s">
        <v>191</v>
      </c>
      <c r="C36" s="36" t="s">
        <v>192</v>
      </c>
      <c r="D36" s="37" t="s">
        <v>193</v>
      </c>
      <c r="E36" s="37" t="s">
        <v>65</v>
      </c>
      <c r="F36" s="38" t="s">
        <v>187</v>
      </c>
    </row>
    <row r="37" spans="1:6" x14ac:dyDescent="0.25">
      <c r="A37" s="36" t="s">
        <v>183</v>
      </c>
      <c r="B37" s="36" t="s">
        <v>194</v>
      </c>
      <c r="C37" s="36" t="s">
        <v>195</v>
      </c>
      <c r="D37" s="37" t="s">
        <v>196</v>
      </c>
      <c r="E37" s="37" t="s">
        <v>65</v>
      </c>
      <c r="F37" s="38" t="s">
        <v>187</v>
      </c>
    </row>
    <row r="38" spans="1:6" x14ac:dyDescent="0.25">
      <c r="A38" s="36" t="s">
        <v>183</v>
      </c>
      <c r="B38" s="36" t="s">
        <v>197</v>
      </c>
      <c r="C38" s="36" t="s">
        <v>198</v>
      </c>
      <c r="D38" s="37" t="s">
        <v>199</v>
      </c>
      <c r="E38" s="37" t="s">
        <v>65</v>
      </c>
      <c r="F38" s="38" t="s">
        <v>187</v>
      </c>
    </row>
    <row r="39" spans="1:6" x14ac:dyDescent="0.25">
      <c r="A39" s="36" t="s">
        <v>183</v>
      </c>
      <c r="B39" s="36" t="s">
        <v>200</v>
      </c>
      <c r="C39" s="36" t="s">
        <v>201</v>
      </c>
      <c r="D39" s="37" t="s">
        <v>202</v>
      </c>
      <c r="E39" s="37" t="s">
        <v>65</v>
      </c>
      <c r="F39" s="38" t="s">
        <v>187</v>
      </c>
    </row>
    <row r="40" spans="1:6" x14ac:dyDescent="0.25">
      <c r="A40" s="36" t="s">
        <v>183</v>
      </c>
      <c r="B40" s="36" t="s">
        <v>203</v>
      </c>
      <c r="C40" s="36" t="s">
        <v>204</v>
      </c>
      <c r="D40" s="37" t="s">
        <v>205</v>
      </c>
      <c r="E40" s="37" t="s">
        <v>65</v>
      </c>
      <c r="F40" s="38" t="s">
        <v>187</v>
      </c>
    </row>
    <row r="41" spans="1:6" x14ac:dyDescent="0.25">
      <c r="A41" s="36" t="s">
        <v>183</v>
      </c>
      <c r="B41" s="36" t="s">
        <v>206</v>
      </c>
      <c r="C41" s="36" t="s">
        <v>207</v>
      </c>
      <c r="D41" s="37" t="s">
        <v>208</v>
      </c>
      <c r="E41" s="37" t="s">
        <v>65</v>
      </c>
      <c r="F41" s="38" t="s">
        <v>187</v>
      </c>
    </row>
    <row r="42" spans="1:6" x14ac:dyDescent="0.25">
      <c r="A42" s="36" t="s">
        <v>183</v>
      </c>
      <c r="B42" s="36" t="s">
        <v>209</v>
      </c>
      <c r="C42" s="36" t="s">
        <v>210</v>
      </c>
      <c r="D42" s="37" t="s">
        <v>211</v>
      </c>
      <c r="E42" s="37" t="s">
        <v>65</v>
      </c>
      <c r="F42" s="38" t="s">
        <v>187</v>
      </c>
    </row>
    <row r="43" spans="1:6" x14ac:dyDescent="0.25">
      <c r="A43" s="36" t="s">
        <v>212</v>
      </c>
      <c r="B43" s="36" t="s">
        <v>213</v>
      </c>
      <c r="C43" s="36" t="s">
        <v>214</v>
      </c>
      <c r="D43" s="37" t="s">
        <v>215</v>
      </c>
      <c r="E43" s="37" t="s">
        <v>65</v>
      </c>
      <c r="F43" s="38" t="s">
        <v>187</v>
      </c>
    </row>
    <row r="44" spans="1:6" x14ac:dyDescent="0.25">
      <c r="A44" s="36" t="s">
        <v>212</v>
      </c>
      <c r="B44" s="36" t="s">
        <v>216</v>
      </c>
      <c r="C44" s="36" t="s">
        <v>217</v>
      </c>
      <c r="D44" s="37" t="s">
        <v>218</v>
      </c>
      <c r="E44" s="37" t="s">
        <v>65</v>
      </c>
      <c r="F44" s="38" t="s">
        <v>187</v>
      </c>
    </row>
    <row r="45" spans="1:6" x14ac:dyDescent="0.25">
      <c r="A45" s="36" t="s">
        <v>212</v>
      </c>
      <c r="B45" s="36" t="s">
        <v>219</v>
      </c>
      <c r="C45" s="36" t="s">
        <v>220</v>
      </c>
      <c r="D45" s="37" t="s">
        <v>221</v>
      </c>
      <c r="E45" s="37" t="s">
        <v>65</v>
      </c>
      <c r="F45" s="38" t="s">
        <v>187</v>
      </c>
    </row>
    <row r="46" spans="1:6" x14ac:dyDescent="0.25">
      <c r="A46" s="36" t="s">
        <v>212</v>
      </c>
      <c r="B46" s="36" t="s">
        <v>222</v>
      </c>
      <c r="C46" s="36" t="s">
        <v>223</v>
      </c>
      <c r="D46" s="37" t="s">
        <v>224</v>
      </c>
      <c r="E46" s="37" t="s">
        <v>65</v>
      </c>
      <c r="F46" s="38" t="s">
        <v>187</v>
      </c>
    </row>
    <row r="47" spans="1:6" x14ac:dyDescent="0.25">
      <c r="A47" s="36" t="s">
        <v>212</v>
      </c>
      <c r="B47" s="36" t="s">
        <v>225</v>
      </c>
      <c r="C47" s="36" t="s">
        <v>226</v>
      </c>
      <c r="D47" s="37" t="s">
        <v>227</v>
      </c>
      <c r="E47" s="37" t="s">
        <v>65</v>
      </c>
      <c r="F47" s="38" t="s">
        <v>187</v>
      </c>
    </row>
    <row r="48" spans="1:6" x14ac:dyDescent="0.25">
      <c r="A48" s="36" t="s">
        <v>212</v>
      </c>
      <c r="B48" s="36" t="s">
        <v>228</v>
      </c>
      <c r="C48" s="36" t="s">
        <v>229</v>
      </c>
      <c r="D48" s="37" t="s">
        <v>230</v>
      </c>
      <c r="E48" s="37" t="s">
        <v>65</v>
      </c>
      <c r="F48" s="38" t="s">
        <v>187</v>
      </c>
    </row>
    <row r="49" spans="1:6" x14ac:dyDescent="0.25">
      <c r="A49" s="36" t="s">
        <v>212</v>
      </c>
      <c r="B49" s="36" t="s">
        <v>231</v>
      </c>
      <c r="C49" s="36" t="s">
        <v>232</v>
      </c>
      <c r="D49" s="37" t="s">
        <v>233</v>
      </c>
      <c r="E49" s="37" t="s">
        <v>65</v>
      </c>
      <c r="F49" s="38" t="s">
        <v>187</v>
      </c>
    </row>
    <row r="50" spans="1:6" x14ac:dyDescent="0.25">
      <c r="A50" s="36" t="s">
        <v>212</v>
      </c>
      <c r="B50" s="36" t="s">
        <v>234</v>
      </c>
      <c r="C50" s="36" t="s">
        <v>235</v>
      </c>
      <c r="D50" s="37" t="s">
        <v>236</v>
      </c>
      <c r="E50" s="37" t="s">
        <v>65</v>
      </c>
      <c r="F50" s="38" t="s">
        <v>187</v>
      </c>
    </row>
    <row r="51" spans="1:6" x14ac:dyDescent="0.25">
      <c r="A51" s="36" t="s">
        <v>212</v>
      </c>
      <c r="B51" s="36" t="s">
        <v>237</v>
      </c>
      <c r="C51" s="36" t="s">
        <v>238</v>
      </c>
      <c r="D51" s="37" t="s">
        <v>239</v>
      </c>
      <c r="E51" s="37" t="s">
        <v>65</v>
      </c>
      <c r="F51" s="38" t="s">
        <v>187</v>
      </c>
    </row>
    <row r="52" spans="1:6" x14ac:dyDescent="0.25">
      <c r="A52" s="36" t="s">
        <v>212</v>
      </c>
      <c r="B52" s="36" t="s">
        <v>240</v>
      </c>
      <c r="C52" s="36" t="s">
        <v>241</v>
      </c>
      <c r="D52" s="37" t="s">
        <v>242</v>
      </c>
      <c r="E52" s="37" t="s">
        <v>65</v>
      </c>
      <c r="F52" s="38" t="s">
        <v>187</v>
      </c>
    </row>
    <row r="53" spans="1:6" x14ac:dyDescent="0.25">
      <c r="A53" s="36" t="s">
        <v>212</v>
      </c>
      <c r="B53" s="36" t="s">
        <v>243</v>
      </c>
      <c r="C53" s="36" t="s">
        <v>244</v>
      </c>
      <c r="D53" s="37" t="s">
        <v>245</v>
      </c>
      <c r="E53" s="37" t="s">
        <v>65</v>
      </c>
      <c r="F53" s="38" t="s">
        <v>187</v>
      </c>
    </row>
    <row r="54" spans="1:6" x14ac:dyDescent="0.25">
      <c r="A54" s="36" t="s">
        <v>212</v>
      </c>
      <c r="B54" s="36" t="s">
        <v>246</v>
      </c>
      <c r="C54" s="36" t="s">
        <v>247</v>
      </c>
      <c r="D54" s="37" t="s">
        <v>248</v>
      </c>
      <c r="E54" s="37" t="s">
        <v>65</v>
      </c>
      <c r="F54" s="38" t="s">
        <v>187</v>
      </c>
    </row>
    <row r="55" spans="1:6" x14ac:dyDescent="0.25">
      <c r="A55" s="36" t="s">
        <v>212</v>
      </c>
      <c r="B55" s="36" t="s">
        <v>249</v>
      </c>
      <c r="C55" s="36" t="s">
        <v>250</v>
      </c>
      <c r="D55" s="37" t="s">
        <v>251</v>
      </c>
      <c r="E55" s="37" t="s">
        <v>65</v>
      </c>
      <c r="F55" s="38" t="s">
        <v>187</v>
      </c>
    </row>
    <row r="56" spans="1:6" x14ac:dyDescent="0.25">
      <c r="A56" s="36" t="s">
        <v>212</v>
      </c>
      <c r="B56" s="36" t="s">
        <v>252</v>
      </c>
      <c r="C56" s="36" t="s">
        <v>253</v>
      </c>
      <c r="D56" s="37" t="s">
        <v>254</v>
      </c>
      <c r="E56" s="37" t="s">
        <v>65</v>
      </c>
      <c r="F56" s="38" t="s">
        <v>187</v>
      </c>
    </row>
    <row r="57" spans="1:6" x14ac:dyDescent="0.25">
      <c r="A57" s="39" t="s">
        <v>255</v>
      </c>
      <c r="B57" s="39" t="s">
        <v>256</v>
      </c>
      <c r="C57" s="39" t="s">
        <v>257</v>
      </c>
      <c r="D57" s="40" t="s">
        <v>258</v>
      </c>
      <c r="E57" s="40" t="s">
        <v>259</v>
      </c>
      <c r="F57" s="41"/>
    </row>
    <row r="58" spans="1:6" x14ac:dyDescent="0.25">
      <c r="A58" s="39" t="s">
        <v>255</v>
      </c>
      <c r="B58" s="39" t="s">
        <v>260</v>
      </c>
      <c r="C58" s="39" t="s">
        <v>261</v>
      </c>
      <c r="D58" s="40" t="s">
        <v>262</v>
      </c>
      <c r="E58" s="40" t="s">
        <v>259</v>
      </c>
      <c r="F58" s="41"/>
    </row>
    <row r="59" spans="1:6" x14ac:dyDescent="0.25">
      <c r="A59" s="39" t="s">
        <v>255</v>
      </c>
      <c r="B59" s="39" t="s">
        <v>263</v>
      </c>
      <c r="C59" s="39" t="s">
        <v>264</v>
      </c>
      <c r="D59" s="40" t="s">
        <v>265</v>
      </c>
      <c r="E59" s="40" t="s">
        <v>259</v>
      </c>
      <c r="F59" s="41"/>
    </row>
    <row r="60" spans="1:6" x14ac:dyDescent="0.25">
      <c r="A60" s="39" t="s">
        <v>255</v>
      </c>
      <c r="B60" s="39" t="s">
        <v>266</v>
      </c>
      <c r="C60" s="39" t="s">
        <v>267</v>
      </c>
      <c r="D60" s="40" t="s">
        <v>268</v>
      </c>
      <c r="E60" s="40" t="s">
        <v>259</v>
      </c>
      <c r="F60" s="41"/>
    </row>
    <row r="61" spans="1:6" x14ac:dyDescent="0.25">
      <c r="A61" s="39" t="s">
        <v>255</v>
      </c>
      <c r="B61" s="39" t="s">
        <v>269</v>
      </c>
      <c r="C61" s="39" t="s">
        <v>270</v>
      </c>
      <c r="D61" s="40" t="s">
        <v>271</v>
      </c>
      <c r="E61" s="40" t="s">
        <v>259</v>
      </c>
      <c r="F61" s="41"/>
    </row>
    <row r="62" spans="1:6" x14ac:dyDescent="0.25">
      <c r="A62" s="39" t="s">
        <v>255</v>
      </c>
      <c r="B62" s="39" t="s">
        <v>272</v>
      </c>
      <c r="C62" s="39" t="s">
        <v>273</v>
      </c>
      <c r="D62" s="40" t="s">
        <v>274</v>
      </c>
      <c r="E62" s="40" t="s">
        <v>259</v>
      </c>
      <c r="F62" s="41"/>
    </row>
    <row r="63" spans="1:6" x14ac:dyDescent="0.25">
      <c r="A63" s="39" t="s">
        <v>255</v>
      </c>
      <c r="B63" s="39" t="s">
        <v>275</v>
      </c>
      <c r="C63" s="39" t="s">
        <v>276</v>
      </c>
      <c r="D63" s="39" t="s">
        <v>277</v>
      </c>
      <c r="E63" s="40" t="s">
        <v>259</v>
      </c>
      <c r="F63" s="41"/>
    </row>
    <row r="64" spans="1:6" x14ac:dyDescent="0.25">
      <c r="A64" s="39" t="s">
        <v>255</v>
      </c>
      <c r="B64" s="39" t="s">
        <v>278</v>
      </c>
      <c r="C64" s="39" t="s">
        <v>279</v>
      </c>
      <c r="D64" s="40" t="s">
        <v>280</v>
      </c>
      <c r="E64" s="40" t="s">
        <v>259</v>
      </c>
      <c r="F64" s="41"/>
    </row>
    <row r="65" spans="1:6" x14ac:dyDescent="0.25">
      <c r="A65" s="42" t="s">
        <v>281</v>
      </c>
      <c r="B65" s="42" t="s">
        <v>282</v>
      </c>
      <c r="C65" s="42" t="s">
        <v>283</v>
      </c>
      <c r="D65" s="42" t="s">
        <v>284</v>
      </c>
      <c r="E65" s="42" t="s">
        <v>259</v>
      </c>
      <c r="F65" s="43"/>
    </row>
    <row r="66" spans="1:6" x14ac:dyDescent="0.25">
      <c r="A66" s="42" t="s">
        <v>281</v>
      </c>
      <c r="B66" s="42" t="s">
        <v>285</v>
      </c>
      <c r="C66" s="42" t="s">
        <v>286</v>
      </c>
      <c r="D66" s="44" t="s">
        <v>287</v>
      </c>
      <c r="E66" s="44" t="s">
        <v>259</v>
      </c>
      <c r="F66" s="43"/>
    </row>
    <row r="67" spans="1:6" x14ac:dyDescent="0.25">
      <c r="A67" s="42" t="s">
        <v>281</v>
      </c>
      <c r="B67" s="42" t="s">
        <v>288</v>
      </c>
      <c r="C67" s="42" t="s">
        <v>289</v>
      </c>
      <c r="D67" s="44" t="s">
        <v>290</v>
      </c>
      <c r="E67" s="44" t="s">
        <v>259</v>
      </c>
      <c r="F67" s="43"/>
    </row>
    <row r="68" spans="1:6" x14ac:dyDescent="0.25">
      <c r="A68" s="42" t="s">
        <v>281</v>
      </c>
      <c r="B68" s="42" t="s">
        <v>291</v>
      </c>
      <c r="C68" s="42" t="s">
        <v>292</v>
      </c>
      <c r="D68" s="44" t="s">
        <v>293</v>
      </c>
      <c r="E68" s="44" t="s">
        <v>259</v>
      </c>
      <c r="F68" s="43"/>
    </row>
    <row r="69" spans="1:6" x14ac:dyDescent="0.25">
      <c r="A69" s="42" t="s">
        <v>281</v>
      </c>
      <c r="B69" s="42" t="s">
        <v>294</v>
      </c>
      <c r="C69" s="42" t="s">
        <v>295</v>
      </c>
      <c r="D69" s="44" t="s">
        <v>296</v>
      </c>
      <c r="E69" s="44" t="s">
        <v>259</v>
      </c>
      <c r="F69" s="43"/>
    </row>
    <row r="70" spans="1:6" x14ac:dyDescent="0.25">
      <c r="A70" s="42" t="s">
        <v>281</v>
      </c>
      <c r="B70" s="42" t="s">
        <v>297</v>
      </c>
      <c r="C70" s="42" t="s">
        <v>298</v>
      </c>
      <c r="D70" s="44" t="s">
        <v>299</v>
      </c>
      <c r="E70" s="44" t="s">
        <v>259</v>
      </c>
      <c r="F70" s="43"/>
    </row>
    <row r="71" spans="1:6" x14ac:dyDescent="0.25">
      <c r="A71" s="42" t="s">
        <v>281</v>
      </c>
      <c r="B71" s="42" t="s">
        <v>300</v>
      </c>
      <c r="C71" s="42" t="s">
        <v>301</v>
      </c>
      <c r="D71" s="44" t="s">
        <v>302</v>
      </c>
      <c r="E71" s="44" t="s">
        <v>259</v>
      </c>
      <c r="F71" s="43"/>
    </row>
    <row r="72" spans="1:6" x14ac:dyDescent="0.25">
      <c r="A72" s="42" t="s">
        <v>281</v>
      </c>
      <c r="B72" s="42" t="s">
        <v>303</v>
      </c>
      <c r="C72" s="42" t="s">
        <v>304</v>
      </c>
      <c r="D72" s="44" t="s">
        <v>305</v>
      </c>
      <c r="E72" s="44" t="s">
        <v>259</v>
      </c>
      <c r="F72" s="43"/>
    </row>
    <row r="73" spans="1:6" x14ac:dyDescent="0.25">
      <c r="A73" s="42" t="s">
        <v>281</v>
      </c>
      <c r="B73" s="42" t="s">
        <v>306</v>
      </c>
      <c r="C73" s="42" t="s">
        <v>307</v>
      </c>
      <c r="D73" s="44" t="s">
        <v>308</v>
      </c>
      <c r="E73" s="44" t="s">
        <v>259</v>
      </c>
      <c r="F73" s="43"/>
    </row>
    <row r="74" spans="1:6" x14ac:dyDescent="0.25">
      <c r="A74" s="42" t="s">
        <v>281</v>
      </c>
      <c r="B74" s="42" t="s">
        <v>309</v>
      </c>
      <c r="C74" s="42" t="s">
        <v>310</v>
      </c>
      <c r="D74" s="44" t="s">
        <v>311</v>
      </c>
      <c r="E74" s="44" t="s">
        <v>259</v>
      </c>
      <c r="F74" s="43"/>
    </row>
    <row r="75" spans="1:6" x14ac:dyDescent="0.25">
      <c r="A75" s="42" t="s">
        <v>281</v>
      </c>
      <c r="B75" s="42" t="s">
        <v>312</v>
      </c>
      <c r="C75" s="42" t="s">
        <v>313</v>
      </c>
      <c r="D75" s="44" t="s">
        <v>314</v>
      </c>
      <c r="E75" s="44" t="s">
        <v>259</v>
      </c>
      <c r="F75" s="43"/>
    </row>
    <row r="76" spans="1:6" x14ac:dyDescent="0.25">
      <c r="A76" s="42" t="s">
        <v>281</v>
      </c>
      <c r="B76" s="42" t="s">
        <v>315</v>
      </c>
      <c r="C76" s="42" t="s">
        <v>316</v>
      </c>
      <c r="D76" s="44" t="s">
        <v>317</v>
      </c>
      <c r="E76" s="44" t="s">
        <v>259</v>
      </c>
      <c r="F76" s="43"/>
    </row>
    <row r="77" spans="1:6" x14ac:dyDescent="0.25">
      <c r="A77" s="42" t="s">
        <v>281</v>
      </c>
      <c r="B77" s="42" t="s">
        <v>318</v>
      </c>
      <c r="C77" s="42" t="s">
        <v>319</v>
      </c>
      <c r="D77" s="44" t="s">
        <v>320</v>
      </c>
      <c r="E77" s="44" t="s">
        <v>259</v>
      </c>
      <c r="F77" s="43"/>
    </row>
    <row r="78" spans="1:6" x14ac:dyDescent="0.25">
      <c r="A78" s="42" t="s">
        <v>281</v>
      </c>
      <c r="B78" s="42" t="s">
        <v>321</v>
      </c>
      <c r="C78" s="42" t="s">
        <v>322</v>
      </c>
      <c r="D78" s="44" t="s">
        <v>320</v>
      </c>
      <c r="E78" s="44" t="s">
        <v>259</v>
      </c>
      <c r="F78" s="43"/>
    </row>
    <row r="79" spans="1:6" x14ac:dyDescent="0.25">
      <c r="A79" s="42" t="s">
        <v>281</v>
      </c>
      <c r="B79" s="42" t="s">
        <v>323</v>
      </c>
      <c r="C79" s="42" t="s">
        <v>324</v>
      </c>
      <c r="D79" s="44" t="s">
        <v>320</v>
      </c>
      <c r="E79" s="44" t="s">
        <v>259</v>
      </c>
      <c r="F79" s="43"/>
    </row>
    <row r="80" spans="1:6" x14ac:dyDescent="0.25">
      <c r="A80" s="42" t="s">
        <v>281</v>
      </c>
      <c r="B80" s="42" t="s">
        <v>325</v>
      </c>
      <c r="C80" s="42" t="s">
        <v>326</v>
      </c>
      <c r="D80" s="44" t="s">
        <v>320</v>
      </c>
      <c r="E80" s="44" t="s">
        <v>259</v>
      </c>
      <c r="F80" s="43"/>
    </row>
    <row r="81" spans="1:6" x14ac:dyDescent="0.25">
      <c r="A81" s="42" t="s">
        <v>281</v>
      </c>
      <c r="B81" s="42" t="s">
        <v>327</v>
      </c>
      <c r="C81" s="42" t="s">
        <v>328</v>
      </c>
      <c r="D81" s="44" t="s">
        <v>329</v>
      </c>
      <c r="E81" s="44" t="s">
        <v>259</v>
      </c>
      <c r="F81" s="43"/>
    </row>
    <row r="82" spans="1:6" x14ac:dyDescent="0.25">
      <c r="A82" s="42" t="s">
        <v>281</v>
      </c>
      <c r="B82" s="42" t="s">
        <v>330</v>
      </c>
      <c r="C82" s="42" t="s">
        <v>331</v>
      </c>
      <c r="D82" s="44" t="s">
        <v>332</v>
      </c>
      <c r="E82" s="44" t="s">
        <v>259</v>
      </c>
      <c r="F82" s="43"/>
    </row>
    <row r="83" spans="1:6" x14ac:dyDescent="0.25">
      <c r="A83" s="42" t="s">
        <v>76</v>
      </c>
      <c r="B83" s="42" t="s">
        <v>333</v>
      </c>
      <c r="C83" s="42" t="s">
        <v>334</v>
      </c>
      <c r="D83" s="44" t="s">
        <v>335</v>
      </c>
      <c r="E83" s="44" t="s">
        <v>259</v>
      </c>
      <c r="F83" s="43"/>
    </row>
    <row r="84" spans="1:6" x14ac:dyDescent="0.25">
      <c r="A84" s="42" t="s">
        <v>133</v>
      </c>
      <c r="B84" s="42" t="s">
        <v>336</v>
      </c>
      <c r="C84" s="42" t="s">
        <v>337</v>
      </c>
      <c r="D84" s="44" t="s">
        <v>338</v>
      </c>
      <c r="E84" s="44" t="s">
        <v>259</v>
      </c>
      <c r="F84" s="43"/>
    </row>
    <row r="85" spans="1:6" x14ac:dyDescent="0.25">
      <c r="A85" s="42" t="s">
        <v>133</v>
      </c>
      <c r="B85" s="42" t="s">
        <v>339</v>
      </c>
      <c r="C85" s="42" t="s">
        <v>340</v>
      </c>
      <c r="D85" s="44" t="s">
        <v>341</v>
      </c>
      <c r="E85" s="44" t="s">
        <v>259</v>
      </c>
      <c r="F85" s="43"/>
    </row>
    <row r="86" spans="1:6" x14ac:dyDescent="0.25">
      <c r="A86" s="42" t="s">
        <v>150</v>
      </c>
      <c r="B86" s="42" t="s">
        <v>342</v>
      </c>
      <c r="C86" s="42" t="s">
        <v>343</v>
      </c>
      <c r="D86" s="44" t="s">
        <v>344</v>
      </c>
      <c r="E86" s="44" t="s">
        <v>259</v>
      </c>
      <c r="F86" s="43"/>
    </row>
    <row r="87" spans="1:6" x14ac:dyDescent="0.25">
      <c r="A87" s="42" t="s">
        <v>150</v>
      </c>
      <c r="B87" s="42" t="s">
        <v>345</v>
      </c>
      <c r="C87" s="42" t="s">
        <v>346</v>
      </c>
      <c r="D87" s="44" t="s">
        <v>347</v>
      </c>
      <c r="E87" s="44" t="s">
        <v>259</v>
      </c>
      <c r="F87" s="43"/>
    </row>
    <row r="88" spans="1:6" x14ac:dyDescent="0.25">
      <c r="A88" s="42" t="s">
        <v>150</v>
      </c>
      <c r="B88" s="42" t="s">
        <v>348</v>
      </c>
      <c r="C88" s="42" t="s">
        <v>349</v>
      </c>
      <c r="D88" s="44" t="s">
        <v>350</v>
      </c>
      <c r="E88" s="44" t="s">
        <v>259</v>
      </c>
      <c r="F88" s="43"/>
    </row>
    <row r="89" spans="1:6" ht="30" x14ac:dyDescent="0.25">
      <c r="A89" s="42" t="s">
        <v>160</v>
      </c>
      <c r="B89" s="42" t="s">
        <v>351</v>
      </c>
      <c r="C89" s="42" t="s">
        <v>352</v>
      </c>
      <c r="D89" s="44" t="s">
        <v>353</v>
      </c>
      <c r="E89" s="44" t="s">
        <v>259</v>
      </c>
      <c r="F89" s="43"/>
    </row>
    <row r="90" spans="1:6" ht="30" x14ac:dyDescent="0.25">
      <c r="A90" s="42" t="s">
        <v>354</v>
      </c>
      <c r="B90" s="42" t="s">
        <v>355</v>
      </c>
      <c r="C90" s="42" t="s">
        <v>354</v>
      </c>
      <c r="D90" s="44" t="s">
        <v>356</v>
      </c>
      <c r="E90" s="44" t="s">
        <v>357</v>
      </c>
      <c r="F90" s="43"/>
    </row>
    <row r="91" spans="1:6" x14ac:dyDescent="0.25">
      <c r="A91" s="42" t="s">
        <v>281</v>
      </c>
      <c r="B91" s="42" t="s">
        <v>358</v>
      </c>
      <c r="C91" s="42" t="s">
        <v>359</v>
      </c>
      <c r="D91" s="44" t="s">
        <v>360</v>
      </c>
      <c r="E91" s="44" t="s">
        <v>361</v>
      </c>
      <c r="F91" s="45" t="s">
        <v>362</v>
      </c>
    </row>
    <row r="92" spans="1:6" ht="30" x14ac:dyDescent="0.25">
      <c r="A92" s="42" t="s">
        <v>361</v>
      </c>
      <c r="B92" s="42" t="s">
        <v>363</v>
      </c>
      <c r="C92" s="42" t="s">
        <v>364</v>
      </c>
      <c r="D92" s="44" t="s">
        <v>365</v>
      </c>
      <c r="E92" s="44" t="s">
        <v>361</v>
      </c>
      <c r="F92" s="43" t="s">
        <v>366</v>
      </c>
    </row>
    <row r="93" spans="1:6" ht="45" x14ac:dyDescent="0.25">
      <c r="A93" s="42" t="s">
        <v>361</v>
      </c>
      <c r="B93" s="42" t="s">
        <v>367</v>
      </c>
      <c r="C93" s="42" t="s">
        <v>368</v>
      </c>
      <c r="D93" s="44" t="s">
        <v>369</v>
      </c>
      <c r="E93" s="44" t="s">
        <v>361</v>
      </c>
      <c r="F93" s="43"/>
    </row>
    <row r="94" spans="1:6" x14ac:dyDescent="0.25">
      <c r="A94" s="42" t="s">
        <v>361</v>
      </c>
      <c r="B94" s="42" t="s">
        <v>370</v>
      </c>
      <c r="C94" s="42" t="s">
        <v>371</v>
      </c>
      <c r="D94" s="44" t="s">
        <v>372</v>
      </c>
      <c r="E94" s="44" t="s">
        <v>361</v>
      </c>
      <c r="F94" s="43"/>
    </row>
    <row r="95" spans="1:6" x14ac:dyDescent="0.25">
      <c r="A95" s="42" t="s">
        <v>361</v>
      </c>
      <c r="B95" s="42" t="s">
        <v>373</v>
      </c>
      <c r="C95" s="42" t="s">
        <v>374</v>
      </c>
      <c r="D95" s="44" t="s">
        <v>375</v>
      </c>
      <c r="E95" s="44" t="s">
        <v>361</v>
      </c>
      <c r="F95" s="43"/>
    </row>
    <row r="96" spans="1:6" x14ac:dyDescent="0.25">
      <c r="A96" s="42" t="s">
        <v>361</v>
      </c>
      <c r="B96" s="42" t="s">
        <v>376</v>
      </c>
      <c r="C96" s="42" t="s">
        <v>377</v>
      </c>
      <c r="D96" s="44" t="s">
        <v>378</v>
      </c>
      <c r="E96" s="44" t="s">
        <v>361</v>
      </c>
      <c r="F96" s="43"/>
    </row>
    <row r="97" spans="1:6" x14ac:dyDescent="0.25">
      <c r="A97" s="42" t="s">
        <v>361</v>
      </c>
      <c r="B97" s="42" t="s">
        <v>379</v>
      </c>
      <c r="C97" s="42" t="s">
        <v>380</v>
      </c>
      <c r="D97" s="44" t="s">
        <v>381</v>
      </c>
      <c r="E97" s="44" t="s">
        <v>361</v>
      </c>
      <c r="F97" s="43"/>
    </row>
    <row r="98" spans="1:6" ht="30" x14ac:dyDescent="0.25">
      <c r="A98" s="42" t="s">
        <v>361</v>
      </c>
      <c r="B98" s="42" t="s">
        <v>382</v>
      </c>
      <c r="C98" s="42" t="s">
        <v>383</v>
      </c>
      <c r="D98" s="44" t="s">
        <v>384</v>
      </c>
      <c r="E98" s="44" t="s">
        <v>361</v>
      </c>
      <c r="F98" s="43"/>
    </row>
    <row r="99" spans="1:6" ht="30" x14ac:dyDescent="0.25">
      <c r="A99" s="42" t="s">
        <v>361</v>
      </c>
      <c r="B99" s="42" t="s">
        <v>385</v>
      </c>
      <c r="C99" s="42" t="s">
        <v>386</v>
      </c>
      <c r="D99" s="44" t="s">
        <v>387</v>
      </c>
      <c r="E99" s="44" t="s">
        <v>361</v>
      </c>
      <c r="F99" s="43"/>
    </row>
    <row r="100" spans="1:6" x14ac:dyDescent="0.25">
      <c r="A100" s="42" t="s">
        <v>361</v>
      </c>
      <c r="B100" s="42" t="s">
        <v>388</v>
      </c>
      <c r="C100" s="42" t="s">
        <v>389</v>
      </c>
      <c r="D100" s="44" t="s">
        <v>390</v>
      </c>
      <c r="E100" s="44" t="s">
        <v>361</v>
      </c>
      <c r="F100" s="43"/>
    </row>
    <row r="101" spans="1:6" x14ac:dyDescent="0.25">
      <c r="A101" s="42" t="s">
        <v>361</v>
      </c>
      <c r="B101" s="42" t="s">
        <v>391</v>
      </c>
      <c r="C101" s="42" t="s">
        <v>392</v>
      </c>
      <c r="D101" s="44" t="s">
        <v>393</v>
      </c>
      <c r="E101" s="44" t="s">
        <v>361</v>
      </c>
      <c r="F101" s="43"/>
    </row>
    <row r="102" spans="1:6" x14ac:dyDescent="0.25">
      <c r="A102" s="42" t="s">
        <v>361</v>
      </c>
      <c r="B102" s="42" t="s">
        <v>394</v>
      </c>
      <c r="C102" s="42" t="s">
        <v>395</v>
      </c>
      <c r="D102" s="44" t="s">
        <v>396</v>
      </c>
      <c r="E102" s="44" t="s">
        <v>361</v>
      </c>
      <c r="F102" s="43"/>
    </row>
    <row r="103" spans="1:6" x14ac:dyDescent="0.25">
      <c r="A103" s="42" t="s">
        <v>361</v>
      </c>
      <c r="B103" s="42" t="s">
        <v>397</v>
      </c>
      <c r="C103" s="42" t="s">
        <v>398</v>
      </c>
      <c r="D103" s="44" t="s">
        <v>398</v>
      </c>
      <c r="E103" s="44" t="s">
        <v>361</v>
      </c>
      <c r="F103" s="43"/>
    </row>
    <row r="104" spans="1:6" x14ac:dyDescent="0.25">
      <c r="A104" s="42" t="s">
        <v>361</v>
      </c>
      <c r="B104" s="42" t="s">
        <v>399</v>
      </c>
      <c r="C104" s="42" t="s">
        <v>400</v>
      </c>
      <c r="D104" s="44" t="s">
        <v>401</v>
      </c>
      <c r="E104" s="44" t="s">
        <v>361</v>
      </c>
      <c r="F104" s="43"/>
    </row>
    <row r="105" spans="1:6" x14ac:dyDescent="0.25">
      <c r="A105" s="42" t="s">
        <v>361</v>
      </c>
      <c r="B105" s="42" t="s">
        <v>402</v>
      </c>
      <c r="C105" s="42" t="s">
        <v>403</v>
      </c>
      <c r="D105" s="44" t="s">
        <v>404</v>
      </c>
      <c r="E105" s="44" t="s">
        <v>361</v>
      </c>
      <c r="F105" s="43"/>
    </row>
    <row r="106" spans="1:6" x14ac:dyDescent="0.25">
      <c r="A106" s="42" t="s">
        <v>361</v>
      </c>
      <c r="B106" s="42" t="s">
        <v>405</v>
      </c>
      <c r="C106" s="42" t="s">
        <v>406</v>
      </c>
      <c r="D106" s="44" t="s">
        <v>407</v>
      </c>
      <c r="E106" s="44" t="s">
        <v>361</v>
      </c>
      <c r="F106" s="43"/>
    </row>
    <row r="107" spans="1:6" x14ac:dyDescent="0.25">
      <c r="A107" s="42" t="s">
        <v>361</v>
      </c>
      <c r="B107" s="42" t="s">
        <v>408</v>
      </c>
      <c r="C107" s="42" t="s">
        <v>409</v>
      </c>
      <c r="D107" s="44" t="s">
        <v>410</v>
      </c>
      <c r="E107" s="44" t="s">
        <v>361</v>
      </c>
      <c r="F107" s="43"/>
    </row>
    <row r="108" spans="1:6" x14ac:dyDescent="0.25">
      <c r="A108" s="42" t="s">
        <v>361</v>
      </c>
      <c r="B108" s="42" t="s">
        <v>411</v>
      </c>
      <c r="C108" s="42" t="s">
        <v>412</v>
      </c>
      <c r="D108" s="44" t="s">
        <v>413</v>
      </c>
      <c r="E108" s="44" t="s">
        <v>361</v>
      </c>
      <c r="F108" s="43"/>
    </row>
    <row r="109" spans="1:6" ht="30" x14ac:dyDescent="0.25">
      <c r="A109" s="42" t="s">
        <v>76</v>
      </c>
      <c r="B109" s="42" t="s">
        <v>414</v>
      </c>
      <c r="C109" s="42" t="s">
        <v>415</v>
      </c>
      <c r="D109" s="44" t="s">
        <v>416</v>
      </c>
      <c r="E109" s="44" t="s">
        <v>361</v>
      </c>
      <c r="F109" s="43"/>
    </row>
    <row r="110" spans="1:6" x14ac:dyDescent="0.25">
      <c r="A110" s="42" t="s">
        <v>417</v>
      </c>
      <c r="B110" s="42" t="s">
        <v>418</v>
      </c>
      <c r="C110" s="42" t="s">
        <v>419</v>
      </c>
      <c r="D110" s="44" t="s">
        <v>420</v>
      </c>
      <c r="E110" s="44" t="s">
        <v>421</v>
      </c>
      <c r="F110" s="43"/>
    </row>
    <row r="111" spans="1:6" x14ac:dyDescent="0.25">
      <c r="A111" s="42" t="s">
        <v>422</v>
      </c>
      <c r="B111" s="42" t="s">
        <v>423</v>
      </c>
      <c r="C111" s="42" t="s">
        <v>422</v>
      </c>
      <c r="D111" s="42" t="s">
        <v>424</v>
      </c>
      <c r="E111" s="42" t="s">
        <v>421</v>
      </c>
      <c r="F111" s="43"/>
    </row>
    <row r="112" spans="1:6" x14ac:dyDescent="0.25">
      <c r="A112" s="42" t="s">
        <v>425</v>
      </c>
      <c r="B112" s="42" t="s">
        <v>426</v>
      </c>
      <c r="C112" s="42" t="s">
        <v>427</v>
      </c>
      <c r="D112" s="44" t="s">
        <v>428</v>
      </c>
      <c r="E112" s="44" t="s">
        <v>421</v>
      </c>
      <c r="F112" s="43"/>
    </row>
    <row r="113" spans="1:6" x14ac:dyDescent="0.25">
      <c r="A113" s="42" t="s">
        <v>425</v>
      </c>
      <c r="B113" s="42" t="s">
        <v>429</v>
      </c>
      <c r="C113" s="42" t="s">
        <v>430</v>
      </c>
      <c r="D113" s="44" t="s">
        <v>431</v>
      </c>
      <c r="E113" s="44" t="s">
        <v>421</v>
      </c>
      <c r="F113" s="43"/>
    </row>
    <row r="114" spans="1:6" x14ac:dyDescent="0.25">
      <c r="A114" s="42" t="s">
        <v>425</v>
      </c>
      <c r="B114" s="42" t="s">
        <v>432</v>
      </c>
      <c r="C114" s="42" t="s">
        <v>433</v>
      </c>
      <c r="D114" s="44" t="s">
        <v>434</v>
      </c>
      <c r="E114" s="44" t="s">
        <v>421</v>
      </c>
      <c r="F114" s="43"/>
    </row>
    <row r="115" spans="1:6" x14ac:dyDescent="0.25">
      <c r="A115" s="42" t="s">
        <v>425</v>
      </c>
      <c r="B115" s="42" t="s">
        <v>435</v>
      </c>
      <c r="C115" s="42" t="s">
        <v>436</v>
      </c>
      <c r="D115" s="44" t="s">
        <v>437</v>
      </c>
      <c r="E115" s="44" t="s">
        <v>421</v>
      </c>
      <c r="F115" s="43"/>
    </row>
    <row r="116" spans="1:6" ht="30" x14ac:dyDescent="0.25">
      <c r="A116" s="42" t="s">
        <v>438</v>
      </c>
      <c r="B116" s="42" t="s">
        <v>439</v>
      </c>
      <c r="C116" s="42" t="s">
        <v>440</v>
      </c>
      <c r="D116" s="44" t="s">
        <v>441</v>
      </c>
      <c r="E116" s="44" t="s">
        <v>421</v>
      </c>
      <c r="F116" s="43"/>
    </row>
    <row r="906" spans="2:2" x14ac:dyDescent="0.25">
      <c r="B906" s="32" t="s">
        <v>112</v>
      </c>
    </row>
    <row r="907" spans="2:2" x14ac:dyDescent="0.25">
      <c r="B907" s="42" t="s">
        <v>358</v>
      </c>
    </row>
    <row r="908" spans="2:2" x14ac:dyDescent="0.25">
      <c r="B908" s="32" t="s">
        <v>77</v>
      </c>
    </row>
    <row r="909" spans="2:2" x14ac:dyDescent="0.25">
      <c r="B909" s="32" t="s">
        <v>80</v>
      </c>
    </row>
    <row r="910" spans="2:2" x14ac:dyDescent="0.25">
      <c r="B910" s="42" t="s">
        <v>336</v>
      </c>
    </row>
    <row r="911" spans="2:2" x14ac:dyDescent="0.25">
      <c r="B911" s="42" t="s">
        <v>418</v>
      </c>
    </row>
    <row r="912" spans="2:2" x14ac:dyDescent="0.25">
      <c r="B912" s="42" t="s">
        <v>355</v>
      </c>
    </row>
    <row r="913" spans="2:2" x14ac:dyDescent="0.25">
      <c r="B913" s="32" t="s">
        <v>84</v>
      </c>
    </row>
    <row r="914" spans="2:2" x14ac:dyDescent="0.25">
      <c r="B914" s="42" t="s">
        <v>423</v>
      </c>
    </row>
    <row r="915" spans="2:2" x14ac:dyDescent="0.25">
      <c r="B915" s="42" t="s">
        <v>282</v>
      </c>
    </row>
    <row r="916" spans="2:2" x14ac:dyDescent="0.25">
      <c r="B916" s="39" t="s">
        <v>256</v>
      </c>
    </row>
    <row r="917" spans="2:2" x14ac:dyDescent="0.25">
      <c r="B917" s="42" t="s">
        <v>363</v>
      </c>
    </row>
    <row r="918" spans="2:2" x14ac:dyDescent="0.25">
      <c r="B918" s="42" t="s">
        <v>367</v>
      </c>
    </row>
    <row r="919" spans="2:2" x14ac:dyDescent="0.25">
      <c r="B919" s="32" t="s">
        <v>173</v>
      </c>
    </row>
    <row r="920" spans="2:2" x14ac:dyDescent="0.25">
      <c r="B920" s="42" t="s">
        <v>333</v>
      </c>
    </row>
    <row r="921" spans="2:2" x14ac:dyDescent="0.25">
      <c r="B921" s="42" t="s">
        <v>370</v>
      </c>
    </row>
    <row r="922" spans="2:2" x14ac:dyDescent="0.25">
      <c r="B922" s="32" t="s">
        <v>161</v>
      </c>
    </row>
    <row r="923" spans="2:2" x14ac:dyDescent="0.25">
      <c r="B923" s="42" t="s">
        <v>373</v>
      </c>
    </row>
    <row r="924" spans="2:2" x14ac:dyDescent="0.25">
      <c r="B924" s="42" t="s">
        <v>376</v>
      </c>
    </row>
    <row r="925" spans="2:2" x14ac:dyDescent="0.25">
      <c r="B925" s="42" t="s">
        <v>379</v>
      </c>
    </row>
    <row r="926" spans="2:2" x14ac:dyDescent="0.25">
      <c r="B926" s="32" t="s">
        <v>116</v>
      </c>
    </row>
    <row r="927" spans="2:2" x14ac:dyDescent="0.25">
      <c r="B927" s="42" t="s">
        <v>285</v>
      </c>
    </row>
    <row r="928" spans="2:2" x14ac:dyDescent="0.25">
      <c r="B928" s="42" t="s">
        <v>339</v>
      </c>
    </row>
    <row r="929" spans="2:2" x14ac:dyDescent="0.25">
      <c r="B929" s="39" t="s">
        <v>260</v>
      </c>
    </row>
    <row r="930" spans="2:2" x14ac:dyDescent="0.25">
      <c r="B930" s="36" t="s">
        <v>184</v>
      </c>
    </row>
    <row r="931" spans="2:2" x14ac:dyDescent="0.25">
      <c r="B931" s="36" t="s">
        <v>188</v>
      </c>
    </row>
    <row r="932" spans="2:2" x14ac:dyDescent="0.25">
      <c r="B932" s="36" t="s">
        <v>191</v>
      </c>
    </row>
    <row r="933" spans="2:2" x14ac:dyDescent="0.25">
      <c r="B933" s="36" t="s">
        <v>194</v>
      </c>
    </row>
    <row r="934" spans="2:2" x14ac:dyDescent="0.25">
      <c r="B934" s="36" t="s">
        <v>197</v>
      </c>
    </row>
    <row r="935" spans="2:2" x14ac:dyDescent="0.25">
      <c r="B935" s="36" t="s">
        <v>200</v>
      </c>
    </row>
    <row r="936" spans="2:2" x14ac:dyDescent="0.25">
      <c r="B936" s="36" t="s">
        <v>203</v>
      </c>
    </row>
    <row r="937" spans="2:2" x14ac:dyDescent="0.25">
      <c r="B937" s="36" t="s">
        <v>206</v>
      </c>
    </row>
    <row r="938" spans="2:2" x14ac:dyDescent="0.25">
      <c r="B938" s="32" t="s">
        <v>176</v>
      </c>
    </row>
    <row r="939" spans="2:2" x14ac:dyDescent="0.25">
      <c r="B939" s="42" t="s">
        <v>288</v>
      </c>
    </row>
    <row r="940" spans="2:2" x14ac:dyDescent="0.25">
      <c r="B940" s="36" t="s">
        <v>209</v>
      </c>
    </row>
    <row r="941" spans="2:2" x14ac:dyDescent="0.25">
      <c r="B941" s="39" t="s">
        <v>263</v>
      </c>
    </row>
    <row r="942" spans="2:2" x14ac:dyDescent="0.25">
      <c r="B942" s="32" t="s">
        <v>62</v>
      </c>
    </row>
    <row r="943" spans="2:2" x14ac:dyDescent="0.25">
      <c r="B943" s="36" t="s">
        <v>213</v>
      </c>
    </row>
    <row r="944" spans="2:2" x14ac:dyDescent="0.25">
      <c r="B944" s="36" t="s">
        <v>216</v>
      </c>
    </row>
    <row r="945" spans="2:2" x14ac:dyDescent="0.25">
      <c r="B945" s="36" t="s">
        <v>219</v>
      </c>
    </row>
    <row r="946" spans="2:2" x14ac:dyDescent="0.25">
      <c r="B946" s="36" t="s">
        <v>222</v>
      </c>
    </row>
    <row r="947" spans="2:2" x14ac:dyDescent="0.25">
      <c r="B947" s="36" t="s">
        <v>225</v>
      </c>
    </row>
    <row r="948" spans="2:2" x14ac:dyDescent="0.25">
      <c r="B948" s="36" t="s">
        <v>228</v>
      </c>
    </row>
    <row r="949" spans="2:2" x14ac:dyDescent="0.25">
      <c r="B949" s="36" t="s">
        <v>231</v>
      </c>
    </row>
    <row r="950" spans="2:2" x14ac:dyDescent="0.25">
      <c r="B950" s="36" t="s">
        <v>234</v>
      </c>
    </row>
    <row r="951" spans="2:2" x14ac:dyDescent="0.25">
      <c r="B951" s="36" t="s">
        <v>237</v>
      </c>
    </row>
    <row r="952" spans="2:2" x14ac:dyDescent="0.25">
      <c r="B952" s="36" t="s">
        <v>240</v>
      </c>
    </row>
    <row r="953" spans="2:2" x14ac:dyDescent="0.25">
      <c r="B953" s="36" t="s">
        <v>243</v>
      </c>
    </row>
    <row r="954" spans="2:2" x14ac:dyDescent="0.25">
      <c r="B954" s="36" t="s">
        <v>246</v>
      </c>
    </row>
    <row r="955" spans="2:2" x14ac:dyDescent="0.25">
      <c r="B955" s="36" t="s">
        <v>249</v>
      </c>
    </row>
    <row r="956" spans="2:2" x14ac:dyDescent="0.25">
      <c r="B956" s="36" t="s">
        <v>252</v>
      </c>
    </row>
    <row r="957" spans="2:2" x14ac:dyDescent="0.25">
      <c r="B957" s="42" t="s">
        <v>382</v>
      </c>
    </row>
    <row r="958" spans="2:2" x14ac:dyDescent="0.25">
      <c r="B958" s="42" t="s">
        <v>385</v>
      </c>
    </row>
    <row r="959" spans="2:2" x14ac:dyDescent="0.25">
      <c r="B959" s="42" t="s">
        <v>291</v>
      </c>
    </row>
    <row r="960" spans="2:2" x14ac:dyDescent="0.25">
      <c r="B960" s="42" t="s">
        <v>294</v>
      </c>
    </row>
    <row r="961" spans="2:2" x14ac:dyDescent="0.25">
      <c r="B961" s="39" t="s">
        <v>266</v>
      </c>
    </row>
    <row r="962" spans="2:2" x14ac:dyDescent="0.25">
      <c r="B962" s="39" t="s">
        <v>442</v>
      </c>
    </row>
    <row r="963" spans="2:2" x14ac:dyDescent="0.25">
      <c r="B963" s="32" t="s">
        <v>67</v>
      </c>
    </row>
    <row r="964" spans="2:2" x14ac:dyDescent="0.25">
      <c r="B964" s="32" t="s">
        <v>120</v>
      </c>
    </row>
    <row r="965" spans="2:2" x14ac:dyDescent="0.25">
      <c r="B965" s="42" t="s">
        <v>351</v>
      </c>
    </row>
    <row r="966" spans="2:2" x14ac:dyDescent="0.25">
      <c r="B966" s="42" t="s">
        <v>388</v>
      </c>
    </row>
    <row r="967" spans="2:2" x14ac:dyDescent="0.25">
      <c r="B967" s="42" t="s">
        <v>391</v>
      </c>
    </row>
    <row r="968" spans="2:2" x14ac:dyDescent="0.25">
      <c r="B968" s="42" t="s">
        <v>394</v>
      </c>
    </row>
    <row r="969" spans="2:2" x14ac:dyDescent="0.25">
      <c r="B969" s="42" t="s">
        <v>397</v>
      </c>
    </row>
    <row r="970" spans="2:2" x14ac:dyDescent="0.25">
      <c r="B970" s="42" t="s">
        <v>399</v>
      </c>
    </row>
    <row r="971" spans="2:2" x14ac:dyDescent="0.25">
      <c r="B971" s="42" t="s">
        <v>297</v>
      </c>
    </row>
    <row r="972" spans="2:2" x14ac:dyDescent="0.25">
      <c r="B972" s="32" t="s">
        <v>164</v>
      </c>
    </row>
    <row r="973" spans="2:2" x14ac:dyDescent="0.25">
      <c r="B973" s="42" t="s">
        <v>300</v>
      </c>
    </row>
    <row r="974" spans="2:2" x14ac:dyDescent="0.25">
      <c r="B974" s="32" t="s">
        <v>108</v>
      </c>
    </row>
    <row r="975" spans="2:2" x14ac:dyDescent="0.25">
      <c r="B975" s="32" t="s">
        <v>88</v>
      </c>
    </row>
    <row r="976" spans="2:2" x14ac:dyDescent="0.25">
      <c r="B976" s="32" t="s">
        <v>179</v>
      </c>
    </row>
    <row r="977" spans="2:2" x14ac:dyDescent="0.25">
      <c r="B977" s="32" t="s">
        <v>134</v>
      </c>
    </row>
    <row r="978" spans="2:2" x14ac:dyDescent="0.25">
      <c r="B978" s="32" t="s">
        <v>92</v>
      </c>
    </row>
    <row r="979" spans="2:2" x14ac:dyDescent="0.25">
      <c r="B979" s="32" t="s">
        <v>96</v>
      </c>
    </row>
    <row r="980" spans="2:2" x14ac:dyDescent="0.25">
      <c r="B980" s="42" t="s">
        <v>318</v>
      </c>
    </row>
    <row r="981" spans="2:2" x14ac:dyDescent="0.25">
      <c r="B981" s="42" t="s">
        <v>321</v>
      </c>
    </row>
    <row r="982" spans="2:2" x14ac:dyDescent="0.25">
      <c r="B982" s="42" t="s">
        <v>323</v>
      </c>
    </row>
    <row r="983" spans="2:2" x14ac:dyDescent="0.25">
      <c r="B983" s="42" t="s">
        <v>325</v>
      </c>
    </row>
    <row r="984" spans="2:2" x14ac:dyDescent="0.25">
      <c r="B984" s="42" t="s">
        <v>303</v>
      </c>
    </row>
    <row r="985" spans="2:2" x14ac:dyDescent="0.25">
      <c r="B985" s="32" t="s">
        <v>100</v>
      </c>
    </row>
    <row r="986" spans="2:2" x14ac:dyDescent="0.25">
      <c r="B986" s="42" t="s">
        <v>327</v>
      </c>
    </row>
    <row r="987" spans="2:2" x14ac:dyDescent="0.25">
      <c r="B987" s="42" t="s">
        <v>414</v>
      </c>
    </row>
    <row r="988" spans="2:2" x14ac:dyDescent="0.25">
      <c r="B988" s="32" t="s">
        <v>70</v>
      </c>
    </row>
    <row r="989" spans="2:2" x14ac:dyDescent="0.25">
      <c r="B989" s="42" t="s">
        <v>402</v>
      </c>
    </row>
    <row r="990" spans="2:2" x14ac:dyDescent="0.25">
      <c r="B990" s="42" t="s">
        <v>405</v>
      </c>
    </row>
    <row r="991" spans="2:2" x14ac:dyDescent="0.25">
      <c r="B991" s="42" t="s">
        <v>408</v>
      </c>
    </row>
    <row r="992" spans="2:2" x14ac:dyDescent="0.25">
      <c r="B992" s="32" t="s">
        <v>73</v>
      </c>
    </row>
    <row r="993" spans="2:2" x14ac:dyDescent="0.25">
      <c r="B993" s="32" t="s">
        <v>138</v>
      </c>
    </row>
    <row r="994" spans="2:2" x14ac:dyDescent="0.25">
      <c r="B994" s="32" t="s">
        <v>151</v>
      </c>
    </row>
    <row r="995" spans="2:2" x14ac:dyDescent="0.25">
      <c r="B995" s="42" t="s">
        <v>342</v>
      </c>
    </row>
    <row r="996" spans="2:2" x14ac:dyDescent="0.25">
      <c r="B996" s="32" t="s">
        <v>124</v>
      </c>
    </row>
    <row r="997" spans="2:2" x14ac:dyDescent="0.25">
      <c r="B997" s="32" t="s">
        <v>154</v>
      </c>
    </row>
    <row r="998" spans="2:2" x14ac:dyDescent="0.25">
      <c r="B998" s="32" t="s">
        <v>168</v>
      </c>
    </row>
    <row r="999" spans="2:2" x14ac:dyDescent="0.25">
      <c r="B999" s="42" t="s">
        <v>426</v>
      </c>
    </row>
    <row r="1000" spans="2:2" x14ac:dyDescent="0.25">
      <c r="B1000" s="42" t="s">
        <v>429</v>
      </c>
    </row>
    <row r="1001" spans="2:2" x14ac:dyDescent="0.25">
      <c r="B1001" s="42" t="s">
        <v>306</v>
      </c>
    </row>
    <row r="1002" spans="2:2" x14ac:dyDescent="0.25">
      <c r="B1002" s="42" t="s">
        <v>345</v>
      </c>
    </row>
    <row r="1003" spans="2:2" x14ac:dyDescent="0.25">
      <c r="B1003" s="32" t="s">
        <v>157</v>
      </c>
    </row>
    <row r="1004" spans="2:2" x14ac:dyDescent="0.25">
      <c r="B1004" s="32" t="s">
        <v>143</v>
      </c>
    </row>
    <row r="1005" spans="2:2" x14ac:dyDescent="0.25">
      <c r="B1005" s="42" t="s">
        <v>309</v>
      </c>
    </row>
    <row r="1006" spans="2:2" x14ac:dyDescent="0.25">
      <c r="B1006" s="42" t="s">
        <v>312</v>
      </c>
    </row>
    <row r="1007" spans="2:2" x14ac:dyDescent="0.25">
      <c r="B1007" s="32" t="s">
        <v>127</v>
      </c>
    </row>
    <row r="1008" spans="2:2" x14ac:dyDescent="0.25">
      <c r="B1008" s="39" t="s">
        <v>269</v>
      </c>
    </row>
    <row r="1009" spans="2:2" x14ac:dyDescent="0.25">
      <c r="B1009" s="42" t="s">
        <v>348</v>
      </c>
    </row>
    <row r="1010" spans="2:2" x14ac:dyDescent="0.25">
      <c r="B1010" s="42" t="s">
        <v>315</v>
      </c>
    </row>
    <row r="1011" spans="2:2" x14ac:dyDescent="0.25">
      <c r="B1011" s="42" t="s">
        <v>411</v>
      </c>
    </row>
    <row r="1012" spans="2:2" x14ac:dyDescent="0.25">
      <c r="B1012" s="42" t="s">
        <v>330</v>
      </c>
    </row>
    <row r="1013" spans="2:2" x14ac:dyDescent="0.25">
      <c r="B1013" s="42" t="s">
        <v>432</v>
      </c>
    </row>
    <row r="1014" spans="2:2" x14ac:dyDescent="0.25">
      <c r="B1014" s="42" t="s">
        <v>435</v>
      </c>
    </row>
    <row r="1015" spans="2:2" x14ac:dyDescent="0.25">
      <c r="B1015" s="32" t="s">
        <v>147</v>
      </c>
    </row>
    <row r="1016" spans="2:2" x14ac:dyDescent="0.25">
      <c r="B1016" s="32" t="s">
        <v>103</v>
      </c>
    </row>
    <row r="1017" spans="2:2" x14ac:dyDescent="0.25">
      <c r="B1017" s="39" t="s">
        <v>275</v>
      </c>
    </row>
    <row r="1018" spans="2:2" x14ac:dyDescent="0.25">
      <c r="B1018" s="39" t="s">
        <v>272</v>
      </c>
    </row>
    <row r="1019" spans="2:2" x14ac:dyDescent="0.25">
      <c r="B1019" s="32" t="s">
        <v>130</v>
      </c>
    </row>
    <row r="1020" spans="2:2" x14ac:dyDescent="0.25">
      <c r="B1020" s="39" t="s">
        <v>278</v>
      </c>
    </row>
    <row r="1021" spans="2:2" x14ac:dyDescent="0.25">
      <c r="B1021" s="42" t="s">
        <v>439</v>
      </c>
    </row>
  </sheetData>
  <sheetProtection insertRows="0" sort="0" autoFilter="0"/>
  <autoFilter ref="A1:F1021" xr:uid="{00000000-0009-0000-0000-000001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DD450-E27B-4BF5-8E93-35EA08BBAD2C}">
  <sheetPr codeName="Sheet2"/>
  <dimension ref="A1:A100"/>
  <sheetViews>
    <sheetView workbookViewId="0">
      <selection activeCell="A8" sqref="A8"/>
    </sheetView>
  </sheetViews>
  <sheetFormatPr defaultRowHeight="14.4" x14ac:dyDescent="0.3"/>
  <cols>
    <col min="1" max="1" width="18.5546875" customWidth="1"/>
  </cols>
  <sheetData>
    <row r="1" spans="1:1" x14ac:dyDescent="0.3">
      <c r="A1" s="7" t="s">
        <v>18</v>
      </c>
    </row>
    <row r="2" spans="1:1" x14ac:dyDescent="0.3">
      <c r="A2" t="str" cm="1">
        <f t="array" ref="A2">IFERROR(INDEX('Tracking Log'!#REF!,MATCH(SMALL(IF((COUNTIF($A$1:A1,'Tracking Log'!#REF!)=0)*('Tracking Log'!#REF!&lt;&gt;""),COUNTIF('Tracking Log'!#REF!,"&lt;"&amp;'Tracking Log'!#REF!),""),1),COUNTIF('Tracking Log'!#REF!,"&lt;"&amp;'Tracking Log'!#REF!),0)),"")</f>
        <v/>
      </c>
    </row>
    <row r="3" spans="1:1" x14ac:dyDescent="0.3">
      <c r="A3" t="str" cm="1">
        <f t="array" ref="A3">IFERROR(INDEX('Tracking Log'!#REF!,MATCH(SMALL(IF((COUNTIF($A$1:A2,'Tracking Log'!#REF!)=0)*('Tracking Log'!#REF!&lt;&gt;""),COUNTIF('Tracking Log'!#REF!,"&lt;"&amp;'Tracking Log'!#REF!),""),1),COUNTIF('Tracking Log'!#REF!,"&lt;"&amp;'Tracking Log'!#REF!),0)),"")</f>
        <v/>
      </c>
    </row>
    <row r="4" spans="1:1" x14ac:dyDescent="0.3">
      <c r="A4" t="str" cm="1">
        <f t="array" ref="A4">IFERROR(INDEX('Tracking Log'!#REF!,MATCH(SMALL(IF((COUNTIF($A$1:A3,'Tracking Log'!#REF!)=0)*('Tracking Log'!#REF!&lt;&gt;""),COUNTIF('Tracking Log'!#REF!,"&lt;"&amp;'Tracking Log'!#REF!),""),1),COUNTIF('Tracking Log'!#REF!,"&lt;"&amp;'Tracking Log'!#REF!),0)),"")</f>
        <v/>
      </c>
    </row>
    <row r="5" spans="1:1" x14ac:dyDescent="0.3">
      <c r="A5" t="str" cm="1">
        <f t="array" ref="A5">IFERROR(INDEX('Tracking Log'!#REF!,MATCH(SMALL(IF((COUNTIF($A$1:A4,'Tracking Log'!#REF!)=0)*('Tracking Log'!#REF!&lt;&gt;""),COUNTIF('Tracking Log'!#REF!,"&lt;"&amp;'Tracking Log'!#REF!),""),1),COUNTIF('Tracking Log'!#REF!,"&lt;"&amp;'Tracking Log'!#REF!),0)),"")</f>
        <v/>
      </c>
    </row>
    <row r="6" spans="1:1" x14ac:dyDescent="0.3">
      <c r="A6" t="str" cm="1">
        <f t="array" ref="A6">IFERROR(INDEX('Tracking Log'!#REF!,MATCH(SMALL(IF((COUNTIF($A$1:A5,'Tracking Log'!#REF!)=0)*('Tracking Log'!#REF!&lt;&gt;""),COUNTIF('Tracking Log'!#REF!,"&lt;"&amp;'Tracking Log'!#REF!),""),1),COUNTIF('Tracking Log'!#REF!,"&lt;"&amp;'Tracking Log'!#REF!),0)),"")</f>
        <v/>
      </c>
    </row>
    <row r="7" spans="1:1" x14ac:dyDescent="0.3">
      <c r="A7" t="str" cm="1">
        <f t="array" ref="A7">IFERROR(INDEX('Tracking Log'!#REF!,MATCH(SMALL(IF((COUNTIF($A$1:A6,'Tracking Log'!#REF!)=0)*('Tracking Log'!#REF!&lt;&gt;""),COUNTIF('Tracking Log'!#REF!,"&lt;"&amp;'Tracking Log'!#REF!),""),1),COUNTIF('Tracking Log'!#REF!,"&lt;"&amp;'Tracking Log'!#REF!),0)),"")</f>
        <v/>
      </c>
    </row>
    <row r="8" spans="1:1" x14ac:dyDescent="0.3">
      <c r="A8" t="str" cm="1">
        <f t="array" ref="A8">IFERROR(INDEX('Tracking Log'!#REF!,MATCH(SMALL(IF((COUNTIF($A$1:A7,'Tracking Log'!#REF!)=0)*('Tracking Log'!#REF!&lt;&gt;""),COUNTIF('Tracking Log'!#REF!,"&lt;"&amp;'Tracking Log'!#REF!),""),1),COUNTIF('Tracking Log'!#REF!,"&lt;"&amp;'Tracking Log'!#REF!),0)),"")</f>
        <v/>
      </c>
    </row>
    <row r="9" spans="1:1" x14ac:dyDescent="0.3">
      <c r="A9" t="str" cm="1">
        <f t="array" ref="A9">IFERROR(INDEX('Tracking Log'!#REF!,MATCH(SMALL(IF((COUNTIF($A$1:A8,'Tracking Log'!#REF!)=0)*('Tracking Log'!#REF!&lt;&gt;""),COUNTIF('Tracking Log'!#REF!,"&lt;"&amp;'Tracking Log'!#REF!),""),1),COUNTIF('Tracking Log'!#REF!,"&lt;"&amp;'Tracking Log'!#REF!),0)),"")</f>
        <v/>
      </c>
    </row>
    <row r="10" spans="1:1" x14ac:dyDescent="0.3">
      <c r="A10" t="str" cm="1">
        <f t="array" ref="A10">IFERROR(INDEX('Tracking Log'!#REF!,MATCH(SMALL(IF((COUNTIF($A$1:A9,'Tracking Log'!#REF!)=0)*('Tracking Log'!#REF!&lt;&gt;""),COUNTIF('Tracking Log'!#REF!,"&lt;"&amp;'Tracking Log'!#REF!),""),1),COUNTIF('Tracking Log'!#REF!,"&lt;"&amp;'Tracking Log'!#REF!),0)),"")</f>
        <v/>
      </c>
    </row>
    <row r="11" spans="1:1" x14ac:dyDescent="0.3">
      <c r="A11" t="str" cm="1">
        <f t="array" ref="A11">IFERROR(INDEX('Tracking Log'!#REF!,MATCH(SMALL(IF((COUNTIF($A$1:A10,'Tracking Log'!#REF!)=0)*('Tracking Log'!#REF!&lt;&gt;""),COUNTIF('Tracking Log'!#REF!,"&lt;"&amp;'Tracking Log'!#REF!),""),1),COUNTIF('Tracking Log'!#REF!,"&lt;"&amp;'Tracking Log'!#REF!),0)),"")</f>
        <v/>
      </c>
    </row>
    <row r="12" spans="1:1" x14ac:dyDescent="0.3">
      <c r="A12" t="str" cm="1">
        <f t="array" ref="A12">IFERROR(INDEX('Tracking Log'!#REF!,MATCH(SMALL(IF((COUNTIF($A$1:A11,'Tracking Log'!#REF!)=0)*('Tracking Log'!#REF!&lt;&gt;""),COUNTIF('Tracking Log'!#REF!,"&lt;"&amp;'Tracking Log'!#REF!),""),1),COUNTIF('Tracking Log'!#REF!,"&lt;"&amp;'Tracking Log'!#REF!),0)),"")</f>
        <v/>
      </c>
    </row>
    <row r="13" spans="1:1" x14ac:dyDescent="0.3">
      <c r="A13" t="str" cm="1">
        <f t="array" ref="A13">IFERROR(INDEX('Tracking Log'!#REF!,MATCH(SMALL(IF((COUNTIF($A$1:A12,'Tracking Log'!#REF!)=0)*('Tracking Log'!#REF!&lt;&gt;""),COUNTIF('Tracking Log'!#REF!,"&lt;"&amp;'Tracking Log'!#REF!),""),1),COUNTIF('Tracking Log'!#REF!,"&lt;"&amp;'Tracking Log'!#REF!),0)),"")</f>
        <v/>
      </c>
    </row>
    <row r="14" spans="1:1" x14ac:dyDescent="0.3">
      <c r="A14" t="str" cm="1">
        <f t="array" ref="A14">IFERROR(INDEX('Tracking Log'!#REF!,MATCH(SMALL(IF((COUNTIF($A$1:A13,'Tracking Log'!#REF!)=0)*('Tracking Log'!#REF!&lt;&gt;""),COUNTIF('Tracking Log'!#REF!,"&lt;"&amp;'Tracking Log'!#REF!),""),1),COUNTIF('Tracking Log'!#REF!,"&lt;"&amp;'Tracking Log'!#REF!),0)),"")</f>
        <v/>
      </c>
    </row>
    <row r="15" spans="1:1" x14ac:dyDescent="0.3">
      <c r="A15" t="str" cm="1">
        <f t="array" ref="A15">IFERROR(INDEX('Tracking Log'!#REF!,MATCH(SMALL(IF((COUNTIF($A$1:A14,'Tracking Log'!#REF!)=0)*('Tracking Log'!#REF!&lt;&gt;""),COUNTIF('Tracking Log'!#REF!,"&lt;"&amp;'Tracking Log'!#REF!),""),1),COUNTIF('Tracking Log'!#REF!,"&lt;"&amp;'Tracking Log'!#REF!),0)),"")</f>
        <v/>
      </c>
    </row>
    <row r="16" spans="1:1" x14ac:dyDescent="0.3">
      <c r="A16" t="str" cm="1">
        <f t="array" ref="A16">IFERROR(INDEX('Tracking Log'!#REF!,MATCH(SMALL(IF((COUNTIF($A$1:A15,'Tracking Log'!#REF!)=0)*('Tracking Log'!#REF!&lt;&gt;""),COUNTIF('Tracking Log'!#REF!,"&lt;"&amp;'Tracking Log'!#REF!),""),1),COUNTIF('Tracking Log'!#REF!,"&lt;"&amp;'Tracking Log'!#REF!),0)),"")</f>
        <v/>
      </c>
    </row>
    <row r="17" spans="1:1" x14ac:dyDescent="0.3">
      <c r="A17" t="str" cm="1">
        <f t="array" ref="A17">IFERROR(INDEX('Tracking Log'!#REF!,MATCH(SMALL(IF((COUNTIF($A$1:A16,'Tracking Log'!#REF!)=0)*('Tracking Log'!#REF!&lt;&gt;""),COUNTIF('Tracking Log'!#REF!,"&lt;"&amp;'Tracking Log'!#REF!),""),1),COUNTIF('Tracking Log'!#REF!,"&lt;"&amp;'Tracking Log'!#REF!),0)),"")</f>
        <v/>
      </c>
    </row>
    <row r="18" spans="1:1" x14ac:dyDescent="0.3">
      <c r="A18" t="str" cm="1">
        <f t="array" ref="A18">IFERROR(INDEX('Tracking Log'!#REF!,MATCH(SMALL(IF((COUNTIF($A$1:A17,'Tracking Log'!#REF!)=0)*('Tracking Log'!#REF!&lt;&gt;""),COUNTIF('Tracking Log'!#REF!,"&lt;"&amp;'Tracking Log'!#REF!),""),1),COUNTIF('Tracking Log'!#REF!,"&lt;"&amp;'Tracking Log'!#REF!),0)),"")</f>
        <v/>
      </c>
    </row>
    <row r="19" spans="1:1" x14ac:dyDescent="0.3">
      <c r="A19" t="str" cm="1">
        <f t="array" ref="A19">IFERROR(INDEX('Tracking Log'!#REF!,MATCH(SMALL(IF((COUNTIF($A$1:A18,'Tracking Log'!#REF!)=0)*('Tracking Log'!#REF!&lt;&gt;""),COUNTIF('Tracking Log'!#REF!,"&lt;"&amp;'Tracking Log'!#REF!),""),1),COUNTIF('Tracking Log'!#REF!,"&lt;"&amp;'Tracking Log'!#REF!),0)),"")</f>
        <v/>
      </c>
    </row>
    <row r="20" spans="1:1" x14ac:dyDescent="0.3">
      <c r="A20" t="str" cm="1">
        <f t="array" ref="A20">IFERROR(INDEX('Tracking Log'!#REF!,MATCH(SMALL(IF((COUNTIF($A$1:A19,'Tracking Log'!#REF!)=0)*('Tracking Log'!#REF!&lt;&gt;""),COUNTIF('Tracking Log'!#REF!,"&lt;"&amp;'Tracking Log'!#REF!),""),1),COUNTIF('Tracking Log'!#REF!,"&lt;"&amp;'Tracking Log'!#REF!),0)),"")</f>
        <v/>
      </c>
    </row>
    <row r="21" spans="1:1" x14ac:dyDescent="0.3">
      <c r="A21" t="str" cm="1">
        <f t="array" ref="A21">IFERROR(INDEX('Tracking Log'!#REF!,MATCH(SMALL(IF((COUNTIF($A$1:A20,'Tracking Log'!#REF!)=0)*('Tracking Log'!#REF!&lt;&gt;""),COUNTIF('Tracking Log'!#REF!,"&lt;"&amp;'Tracking Log'!#REF!),""),1),COUNTIF('Tracking Log'!#REF!,"&lt;"&amp;'Tracking Log'!#REF!),0)),"")</f>
        <v/>
      </c>
    </row>
    <row r="22" spans="1:1" x14ac:dyDescent="0.3">
      <c r="A22" t="str" cm="1">
        <f t="array" ref="A22">IFERROR(INDEX('Tracking Log'!#REF!,MATCH(SMALL(IF((COUNTIF($A$1:A21,'Tracking Log'!#REF!)=0)*('Tracking Log'!#REF!&lt;&gt;""),COUNTIF('Tracking Log'!#REF!,"&lt;"&amp;'Tracking Log'!#REF!),""),1),COUNTIF('Tracking Log'!#REF!,"&lt;"&amp;'Tracking Log'!#REF!),0)),"")</f>
        <v/>
      </c>
    </row>
    <row r="23" spans="1:1" x14ac:dyDescent="0.3">
      <c r="A23" t="str" cm="1">
        <f t="array" ref="A23">IFERROR(INDEX('Tracking Log'!#REF!,MATCH(SMALL(IF((COUNTIF($A$1:A22,'Tracking Log'!#REF!)=0)*('Tracking Log'!#REF!&lt;&gt;""),COUNTIF('Tracking Log'!#REF!,"&lt;"&amp;'Tracking Log'!#REF!),""),1),COUNTIF('Tracking Log'!#REF!,"&lt;"&amp;'Tracking Log'!#REF!),0)),"")</f>
        <v/>
      </c>
    </row>
    <row r="24" spans="1:1" x14ac:dyDescent="0.3">
      <c r="A24" t="str" cm="1">
        <f t="array" ref="A24">IFERROR(INDEX('Tracking Log'!#REF!,MATCH(SMALL(IF((COUNTIF($A$1:A23,'Tracking Log'!#REF!)=0)*('Tracking Log'!#REF!&lt;&gt;""),COUNTIF('Tracking Log'!#REF!,"&lt;"&amp;'Tracking Log'!#REF!),""),1),COUNTIF('Tracking Log'!#REF!,"&lt;"&amp;'Tracking Log'!#REF!),0)),"")</f>
        <v/>
      </c>
    </row>
    <row r="25" spans="1:1" x14ac:dyDescent="0.3">
      <c r="A25" t="str" cm="1">
        <f t="array" ref="A25">IFERROR(INDEX('Tracking Log'!#REF!,MATCH(SMALL(IF((COUNTIF($A$1:A24,'Tracking Log'!#REF!)=0)*('Tracking Log'!#REF!&lt;&gt;""),COUNTIF('Tracking Log'!#REF!,"&lt;"&amp;'Tracking Log'!#REF!),""),1),COUNTIF('Tracking Log'!#REF!,"&lt;"&amp;'Tracking Log'!#REF!),0)),"")</f>
        <v/>
      </c>
    </row>
    <row r="26" spans="1:1" x14ac:dyDescent="0.3">
      <c r="A26" t="str" cm="1">
        <f t="array" ref="A26">IFERROR(INDEX('Tracking Log'!#REF!,MATCH(SMALL(IF((COUNTIF($A$1:A25,'Tracking Log'!#REF!)=0)*('Tracking Log'!#REF!&lt;&gt;""),COUNTIF('Tracking Log'!#REF!,"&lt;"&amp;'Tracking Log'!#REF!),""),1),COUNTIF('Tracking Log'!#REF!,"&lt;"&amp;'Tracking Log'!#REF!),0)),"")</f>
        <v/>
      </c>
    </row>
    <row r="27" spans="1:1" x14ac:dyDescent="0.3">
      <c r="A27" t="str" cm="1">
        <f t="array" ref="A27">IFERROR(INDEX('Tracking Log'!#REF!,MATCH(SMALL(IF((COUNTIF($A$1:A26,'Tracking Log'!#REF!)=0)*('Tracking Log'!#REF!&lt;&gt;""),COUNTIF('Tracking Log'!#REF!,"&lt;"&amp;'Tracking Log'!#REF!),""),1),COUNTIF('Tracking Log'!#REF!,"&lt;"&amp;'Tracking Log'!#REF!),0)),"")</f>
        <v/>
      </c>
    </row>
    <row r="28" spans="1:1" x14ac:dyDescent="0.3">
      <c r="A28" t="str" cm="1">
        <f t="array" ref="A28">IFERROR(INDEX('Tracking Log'!#REF!,MATCH(SMALL(IF((COUNTIF($A$1:A27,'Tracking Log'!#REF!)=0)*('Tracking Log'!#REF!&lt;&gt;""),COUNTIF('Tracking Log'!#REF!,"&lt;"&amp;'Tracking Log'!#REF!),""),1),COUNTIF('Tracking Log'!#REF!,"&lt;"&amp;'Tracking Log'!#REF!),0)),"")</f>
        <v/>
      </c>
    </row>
    <row r="29" spans="1:1" x14ac:dyDescent="0.3">
      <c r="A29" t="str" cm="1">
        <f t="array" ref="A29">IFERROR(INDEX('Tracking Log'!#REF!,MATCH(SMALL(IF((COUNTIF($A$1:A28,'Tracking Log'!#REF!)=0)*('Tracking Log'!#REF!&lt;&gt;""),COUNTIF('Tracking Log'!#REF!,"&lt;"&amp;'Tracking Log'!#REF!),""),1),COUNTIF('Tracking Log'!#REF!,"&lt;"&amp;'Tracking Log'!#REF!),0)),"")</f>
        <v/>
      </c>
    </row>
    <row r="30" spans="1:1" x14ac:dyDescent="0.3">
      <c r="A30" t="str" cm="1">
        <f t="array" ref="A30">IFERROR(INDEX('Tracking Log'!#REF!,MATCH(SMALL(IF((COUNTIF($A$1:A29,'Tracking Log'!#REF!)=0)*('Tracking Log'!#REF!&lt;&gt;""),COUNTIF('Tracking Log'!#REF!,"&lt;"&amp;'Tracking Log'!#REF!),""),1),COUNTIF('Tracking Log'!#REF!,"&lt;"&amp;'Tracking Log'!#REF!),0)),"")</f>
        <v/>
      </c>
    </row>
    <row r="31" spans="1:1" x14ac:dyDescent="0.3">
      <c r="A31" t="str" cm="1">
        <f t="array" ref="A31">IFERROR(INDEX('Tracking Log'!#REF!,MATCH(SMALL(IF((COUNTIF($A$1:A30,'Tracking Log'!#REF!)=0)*('Tracking Log'!#REF!&lt;&gt;""),COUNTIF('Tracking Log'!#REF!,"&lt;"&amp;'Tracking Log'!#REF!),""),1),COUNTIF('Tracking Log'!#REF!,"&lt;"&amp;'Tracking Log'!#REF!),0)),"")</f>
        <v/>
      </c>
    </row>
    <row r="32" spans="1:1" x14ac:dyDescent="0.3">
      <c r="A32" t="str" cm="1">
        <f t="array" ref="A32">IFERROR(INDEX('Tracking Log'!#REF!,MATCH(SMALL(IF((COUNTIF($A$1:A31,'Tracking Log'!#REF!)=0)*('Tracking Log'!#REF!&lt;&gt;""),COUNTIF('Tracking Log'!#REF!,"&lt;"&amp;'Tracking Log'!#REF!),""),1),COUNTIF('Tracking Log'!#REF!,"&lt;"&amp;'Tracking Log'!#REF!),0)),"")</f>
        <v/>
      </c>
    </row>
    <row r="33" spans="1:1" x14ac:dyDescent="0.3">
      <c r="A33" t="str" cm="1">
        <f t="array" ref="A33">IFERROR(INDEX('Tracking Log'!#REF!,MATCH(SMALL(IF((COUNTIF($A$1:A32,'Tracking Log'!#REF!)=0)*('Tracking Log'!#REF!&lt;&gt;""),COUNTIF('Tracking Log'!#REF!,"&lt;"&amp;'Tracking Log'!#REF!),""),1),COUNTIF('Tracking Log'!#REF!,"&lt;"&amp;'Tracking Log'!#REF!),0)),"")</f>
        <v/>
      </c>
    </row>
    <row r="34" spans="1:1" x14ac:dyDescent="0.3">
      <c r="A34" t="str" cm="1">
        <f t="array" ref="A34">IFERROR(INDEX('Tracking Log'!#REF!,MATCH(SMALL(IF((COUNTIF($A$1:A33,'Tracking Log'!#REF!)=0)*('Tracking Log'!#REF!&lt;&gt;""),COUNTIF('Tracking Log'!#REF!,"&lt;"&amp;'Tracking Log'!#REF!),""),1),COUNTIF('Tracking Log'!#REF!,"&lt;"&amp;'Tracking Log'!#REF!),0)),"")</f>
        <v/>
      </c>
    </row>
    <row r="35" spans="1:1" x14ac:dyDescent="0.3">
      <c r="A35" t="str" cm="1">
        <f t="array" ref="A35">IFERROR(INDEX('Tracking Log'!#REF!,MATCH(SMALL(IF((COUNTIF($A$1:A34,'Tracking Log'!#REF!)=0)*('Tracking Log'!#REF!&lt;&gt;""),COUNTIF('Tracking Log'!#REF!,"&lt;"&amp;'Tracking Log'!#REF!),""),1),COUNTIF('Tracking Log'!#REF!,"&lt;"&amp;'Tracking Log'!#REF!),0)),"")</f>
        <v/>
      </c>
    </row>
    <row r="36" spans="1:1" x14ac:dyDescent="0.3">
      <c r="A36" t="str" cm="1">
        <f t="array" ref="A36">IFERROR(INDEX('Tracking Log'!#REF!,MATCH(SMALL(IF((COUNTIF($A$1:A35,'Tracking Log'!#REF!)=0)*('Tracking Log'!#REF!&lt;&gt;""),COUNTIF('Tracking Log'!#REF!,"&lt;"&amp;'Tracking Log'!#REF!),""),1),COUNTIF('Tracking Log'!#REF!,"&lt;"&amp;'Tracking Log'!#REF!),0)),"")</f>
        <v/>
      </c>
    </row>
    <row r="37" spans="1:1" x14ac:dyDescent="0.3">
      <c r="A37" t="str" cm="1">
        <f t="array" ref="A37">IFERROR(INDEX('Tracking Log'!#REF!,MATCH(SMALL(IF((COUNTIF($A$1:A36,'Tracking Log'!#REF!)=0)*('Tracking Log'!#REF!&lt;&gt;""),COUNTIF('Tracking Log'!#REF!,"&lt;"&amp;'Tracking Log'!#REF!),""),1),COUNTIF('Tracking Log'!#REF!,"&lt;"&amp;'Tracking Log'!#REF!),0)),"")</f>
        <v/>
      </c>
    </row>
    <row r="38" spans="1:1" x14ac:dyDescent="0.3">
      <c r="A38" t="str" cm="1">
        <f t="array" ref="A38">IFERROR(INDEX('Tracking Log'!#REF!,MATCH(SMALL(IF((COUNTIF($A$1:A37,'Tracking Log'!#REF!)=0)*('Tracking Log'!#REF!&lt;&gt;""),COUNTIF('Tracking Log'!#REF!,"&lt;"&amp;'Tracking Log'!#REF!),""),1),COUNTIF('Tracking Log'!#REF!,"&lt;"&amp;'Tracking Log'!#REF!),0)),"")</f>
        <v/>
      </c>
    </row>
    <row r="39" spans="1:1" x14ac:dyDescent="0.3">
      <c r="A39" t="str" cm="1">
        <f t="array" ref="A39">IFERROR(INDEX('Tracking Log'!#REF!,MATCH(SMALL(IF((COUNTIF($A$1:A38,'Tracking Log'!#REF!)=0)*('Tracking Log'!#REF!&lt;&gt;""),COUNTIF('Tracking Log'!#REF!,"&lt;"&amp;'Tracking Log'!#REF!),""),1),COUNTIF('Tracking Log'!#REF!,"&lt;"&amp;'Tracking Log'!#REF!),0)),"")</f>
        <v/>
      </c>
    </row>
    <row r="40" spans="1:1" x14ac:dyDescent="0.3">
      <c r="A40" t="str" cm="1">
        <f t="array" ref="A40">IFERROR(INDEX('Tracking Log'!#REF!,MATCH(SMALL(IF((COUNTIF($A$1:A39,'Tracking Log'!#REF!)=0)*('Tracking Log'!#REF!&lt;&gt;""),COUNTIF('Tracking Log'!#REF!,"&lt;"&amp;'Tracking Log'!#REF!),""),1),COUNTIF('Tracking Log'!#REF!,"&lt;"&amp;'Tracking Log'!#REF!),0)),"")</f>
        <v/>
      </c>
    </row>
    <row r="41" spans="1:1" x14ac:dyDescent="0.3">
      <c r="A41" t="str" cm="1">
        <f t="array" ref="A41">IFERROR(INDEX('Tracking Log'!#REF!,MATCH(SMALL(IF((COUNTIF($A$1:A40,'Tracking Log'!#REF!)=0)*('Tracking Log'!#REF!&lt;&gt;""),COUNTIF('Tracking Log'!#REF!,"&lt;"&amp;'Tracking Log'!#REF!),""),1),COUNTIF('Tracking Log'!#REF!,"&lt;"&amp;'Tracking Log'!#REF!),0)),"")</f>
        <v/>
      </c>
    </row>
    <row r="42" spans="1:1" x14ac:dyDescent="0.3">
      <c r="A42" t="str" cm="1">
        <f t="array" ref="A42">IFERROR(INDEX('Tracking Log'!#REF!,MATCH(SMALL(IF((COUNTIF($A$1:A41,'Tracking Log'!#REF!)=0)*('Tracking Log'!#REF!&lt;&gt;""),COUNTIF('Tracking Log'!#REF!,"&lt;"&amp;'Tracking Log'!#REF!),""),1),COUNTIF('Tracking Log'!#REF!,"&lt;"&amp;'Tracking Log'!#REF!),0)),"")</f>
        <v/>
      </c>
    </row>
    <row r="43" spans="1:1" x14ac:dyDescent="0.3">
      <c r="A43" t="str" cm="1">
        <f t="array" ref="A43">IFERROR(INDEX('Tracking Log'!#REF!,MATCH(SMALL(IF((COUNTIF($A$1:A42,'Tracking Log'!#REF!)=0)*('Tracking Log'!#REF!&lt;&gt;""),COUNTIF('Tracking Log'!#REF!,"&lt;"&amp;'Tracking Log'!#REF!),""),1),COUNTIF('Tracking Log'!#REF!,"&lt;"&amp;'Tracking Log'!#REF!),0)),"")</f>
        <v/>
      </c>
    </row>
    <row r="44" spans="1:1" x14ac:dyDescent="0.3">
      <c r="A44" t="str" cm="1">
        <f t="array" ref="A44">IFERROR(INDEX('Tracking Log'!#REF!,MATCH(SMALL(IF((COUNTIF($A$1:A43,'Tracking Log'!#REF!)=0)*('Tracking Log'!#REF!&lt;&gt;""),COUNTIF('Tracking Log'!#REF!,"&lt;"&amp;'Tracking Log'!#REF!),""),1),COUNTIF('Tracking Log'!#REF!,"&lt;"&amp;'Tracking Log'!#REF!),0)),"")</f>
        <v/>
      </c>
    </row>
    <row r="45" spans="1:1" x14ac:dyDescent="0.3">
      <c r="A45" t="str" cm="1">
        <f t="array" ref="A45">IFERROR(INDEX('Tracking Log'!#REF!,MATCH(SMALL(IF((COUNTIF($A$1:A44,'Tracking Log'!#REF!)=0)*('Tracking Log'!#REF!&lt;&gt;""),COUNTIF('Tracking Log'!#REF!,"&lt;"&amp;'Tracking Log'!#REF!),""),1),COUNTIF('Tracking Log'!#REF!,"&lt;"&amp;'Tracking Log'!#REF!),0)),"")</f>
        <v/>
      </c>
    </row>
    <row r="46" spans="1:1" x14ac:dyDescent="0.3">
      <c r="A46" t="str" cm="1">
        <f t="array" ref="A46">IFERROR(INDEX('Tracking Log'!#REF!,MATCH(SMALL(IF((COUNTIF($A$1:A45,'Tracking Log'!#REF!)=0)*('Tracking Log'!#REF!&lt;&gt;""),COUNTIF('Tracking Log'!#REF!,"&lt;"&amp;'Tracking Log'!#REF!),""),1),COUNTIF('Tracking Log'!#REF!,"&lt;"&amp;'Tracking Log'!#REF!),0)),"")</f>
        <v/>
      </c>
    </row>
    <row r="47" spans="1:1" x14ac:dyDescent="0.3">
      <c r="A47" t="str" cm="1">
        <f t="array" ref="A47">IFERROR(INDEX('Tracking Log'!#REF!,MATCH(SMALL(IF((COUNTIF($A$1:A46,'Tracking Log'!#REF!)=0)*('Tracking Log'!#REF!&lt;&gt;""),COUNTIF('Tracking Log'!#REF!,"&lt;"&amp;'Tracking Log'!#REF!),""),1),COUNTIF('Tracking Log'!#REF!,"&lt;"&amp;'Tracking Log'!#REF!),0)),"")</f>
        <v/>
      </c>
    </row>
    <row r="48" spans="1:1" x14ac:dyDescent="0.3">
      <c r="A48" t="str" cm="1">
        <f t="array" ref="A48">IFERROR(INDEX('Tracking Log'!#REF!,MATCH(SMALL(IF((COUNTIF($A$1:A47,'Tracking Log'!#REF!)=0)*('Tracking Log'!#REF!&lt;&gt;""),COUNTIF('Tracking Log'!#REF!,"&lt;"&amp;'Tracking Log'!#REF!),""),1),COUNTIF('Tracking Log'!#REF!,"&lt;"&amp;'Tracking Log'!#REF!),0)),"")</f>
        <v/>
      </c>
    </row>
    <row r="49" spans="1:1" x14ac:dyDescent="0.3">
      <c r="A49" t="str" cm="1">
        <f t="array" ref="A49">IFERROR(INDEX('Tracking Log'!#REF!,MATCH(SMALL(IF((COUNTIF($A$1:A48,'Tracking Log'!#REF!)=0)*('Tracking Log'!#REF!&lt;&gt;""),COUNTIF('Tracking Log'!#REF!,"&lt;"&amp;'Tracking Log'!#REF!),""),1),COUNTIF('Tracking Log'!#REF!,"&lt;"&amp;'Tracking Log'!#REF!),0)),"")</f>
        <v/>
      </c>
    </row>
    <row r="50" spans="1:1" x14ac:dyDescent="0.3">
      <c r="A50" t="str" cm="1">
        <f t="array" ref="A50">IFERROR(INDEX('Tracking Log'!#REF!,MATCH(SMALL(IF((COUNTIF($A$1:A49,'Tracking Log'!#REF!)=0)*('Tracking Log'!#REF!&lt;&gt;""),COUNTIF('Tracking Log'!#REF!,"&lt;"&amp;'Tracking Log'!#REF!),""),1),COUNTIF('Tracking Log'!#REF!,"&lt;"&amp;'Tracking Log'!#REF!),0)),"")</f>
        <v/>
      </c>
    </row>
    <row r="51" spans="1:1" x14ac:dyDescent="0.3">
      <c r="A51" t="str" cm="1">
        <f t="array" ref="A51">IFERROR(INDEX('Tracking Log'!#REF!,MATCH(SMALL(IF((COUNTIF($A$1:A50,'Tracking Log'!#REF!)=0)*('Tracking Log'!#REF!&lt;&gt;""),COUNTIF('Tracking Log'!#REF!,"&lt;"&amp;'Tracking Log'!#REF!),""),1),COUNTIF('Tracking Log'!#REF!,"&lt;"&amp;'Tracking Log'!#REF!),0)),"")</f>
        <v/>
      </c>
    </row>
    <row r="52" spans="1:1" x14ac:dyDescent="0.3">
      <c r="A52" t="str" cm="1">
        <f t="array" ref="A52">IFERROR(INDEX('Tracking Log'!#REF!,MATCH(SMALL(IF((COUNTIF($A$1:A51,'Tracking Log'!#REF!)=0)*('Tracking Log'!#REF!&lt;&gt;""),COUNTIF('Tracking Log'!#REF!,"&lt;"&amp;'Tracking Log'!#REF!),""),1),COUNTIF('Tracking Log'!#REF!,"&lt;"&amp;'Tracking Log'!#REF!),0)),"")</f>
        <v/>
      </c>
    </row>
    <row r="53" spans="1:1" x14ac:dyDescent="0.3">
      <c r="A53" t="str" cm="1">
        <f t="array" ref="A53">IFERROR(INDEX('Tracking Log'!#REF!,MATCH(SMALL(IF((COUNTIF($A$1:A52,'Tracking Log'!#REF!)=0)*('Tracking Log'!#REF!&lt;&gt;""),COUNTIF('Tracking Log'!#REF!,"&lt;"&amp;'Tracking Log'!#REF!),""),1),COUNTIF('Tracking Log'!#REF!,"&lt;"&amp;'Tracking Log'!#REF!),0)),"")</f>
        <v/>
      </c>
    </row>
    <row r="54" spans="1:1" x14ac:dyDescent="0.3">
      <c r="A54" t="str" cm="1">
        <f t="array" ref="A54">IFERROR(INDEX('Tracking Log'!#REF!,MATCH(SMALL(IF((COUNTIF($A$1:A53,'Tracking Log'!#REF!)=0)*('Tracking Log'!#REF!&lt;&gt;""),COUNTIF('Tracking Log'!#REF!,"&lt;"&amp;'Tracking Log'!#REF!),""),1),COUNTIF('Tracking Log'!#REF!,"&lt;"&amp;'Tracking Log'!#REF!),0)),"")</f>
        <v/>
      </c>
    </row>
    <row r="55" spans="1:1" x14ac:dyDescent="0.3">
      <c r="A55" t="str" cm="1">
        <f t="array" ref="A55">IFERROR(INDEX('Tracking Log'!#REF!,MATCH(SMALL(IF((COUNTIF($A$1:A54,'Tracking Log'!#REF!)=0)*('Tracking Log'!#REF!&lt;&gt;""),COUNTIF('Tracking Log'!#REF!,"&lt;"&amp;'Tracking Log'!#REF!),""),1),COUNTIF('Tracking Log'!#REF!,"&lt;"&amp;'Tracking Log'!#REF!),0)),"")</f>
        <v/>
      </c>
    </row>
    <row r="56" spans="1:1" x14ac:dyDescent="0.3">
      <c r="A56" t="str" cm="1">
        <f t="array" ref="A56">IFERROR(INDEX('Tracking Log'!#REF!,MATCH(SMALL(IF((COUNTIF($A$1:A55,'Tracking Log'!#REF!)=0)*('Tracking Log'!#REF!&lt;&gt;""),COUNTIF('Tracking Log'!#REF!,"&lt;"&amp;'Tracking Log'!#REF!),""),1),COUNTIF('Tracking Log'!#REF!,"&lt;"&amp;'Tracking Log'!#REF!),0)),"")</f>
        <v/>
      </c>
    </row>
    <row r="57" spans="1:1" x14ac:dyDescent="0.3">
      <c r="A57" t="str" cm="1">
        <f t="array" ref="A57">IFERROR(INDEX('Tracking Log'!#REF!,MATCH(SMALL(IF((COUNTIF($A$1:A56,'Tracking Log'!#REF!)=0)*('Tracking Log'!#REF!&lt;&gt;""),COUNTIF('Tracking Log'!#REF!,"&lt;"&amp;'Tracking Log'!#REF!),""),1),COUNTIF('Tracking Log'!#REF!,"&lt;"&amp;'Tracking Log'!#REF!),0)),"")</f>
        <v/>
      </c>
    </row>
    <row r="58" spans="1:1" x14ac:dyDescent="0.3">
      <c r="A58" t="str" cm="1">
        <f t="array" ref="A58">IFERROR(INDEX('Tracking Log'!#REF!,MATCH(SMALL(IF((COUNTIF($A$1:A57,'Tracking Log'!#REF!)=0)*('Tracking Log'!#REF!&lt;&gt;""),COUNTIF('Tracking Log'!#REF!,"&lt;"&amp;'Tracking Log'!#REF!),""),1),COUNTIF('Tracking Log'!#REF!,"&lt;"&amp;'Tracking Log'!#REF!),0)),"")</f>
        <v/>
      </c>
    </row>
    <row r="59" spans="1:1" x14ac:dyDescent="0.3">
      <c r="A59" t="str" cm="1">
        <f t="array" ref="A59">IFERROR(INDEX('Tracking Log'!#REF!,MATCH(SMALL(IF((COUNTIF($A$1:A58,'Tracking Log'!#REF!)=0)*('Tracking Log'!#REF!&lt;&gt;""),COUNTIF('Tracking Log'!#REF!,"&lt;"&amp;'Tracking Log'!#REF!),""),1),COUNTIF('Tracking Log'!#REF!,"&lt;"&amp;'Tracking Log'!#REF!),0)),"")</f>
        <v/>
      </c>
    </row>
    <row r="60" spans="1:1" x14ac:dyDescent="0.3">
      <c r="A60" t="str" cm="1">
        <f t="array" ref="A60">IFERROR(INDEX('Tracking Log'!#REF!,MATCH(SMALL(IF((COUNTIF($A$1:A59,'Tracking Log'!#REF!)=0)*('Tracking Log'!#REF!&lt;&gt;""),COUNTIF('Tracking Log'!#REF!,"&lt;"&amp;'Tracking Log'!#REF!),""),1),COUNTIF('Tracking Log'!#REF!,"&lt;"&amp;'Tracking Log'!#REF!),0)),"")</f>
        <v/>
      </c>
    </row>
    <row r="61" spans="1:1" x14ac:dyDescent="0.3">
      <c r="A61" t="str" cm="1">
        <f t="array" ref="A61">IFERROR(INDEX('Tracking Log'!#REF!,MATCH(SMALL(IF((COUNTIF($A$1:A60,'Tracking Log'!#REF!)=0)*('Tracking Log'!#REF!&lt;&gt;""),COUNTIF('Tracking Log'!#REF!,"&lt;"&amp;'Tracking Log'!#REF!),""),1),COUNTIF('Tracking Log'!#REF!,"&lt;"&amp;'Tracking Log'!#REF!),0)),"")</f>
        <v/>
      </c>
    </row>
    <row r="62" spans="1:1" x14ac:dyDescent="0.3">
      <c r="A62" t="str" cm="1">
        <f t="array" ref="A62">IFERROR(INDEX('Tracking Log'!#REF!,MATCH(SMALL(IF((COUNTIF($A$1:A61,'Tracking Log'!#REF!)=0)*('Tracking Log'!#REF!&lt;&gt;""),COUNTIF('Tracking Log'!#REF!,"&lt;"&amp;'Tracking Log'!#REF!),""),1),COUNTIF('Tracking Log'!#REF!,"&lt;"&amp;'Tracking Log'!#REF!),0)),"")</f>
        <v/>
      </c>
    </row>
    <row r="63" spans="1:1" x14ac:dyDescent="0.3">
      <c r="A63" t="str" cm="1">
        <f t="array" ref="A63">IFERROR(INDEX('Tracking Log'!#REF!,MATCH(SMALL(IF((COUNTIF($A$1:A62,'Tracking Log'!#REF!)=0)*('Tracking Log'!#REF!&lt;&gt;""),COUNTIF('Tracking Log'!#REF!,"&lt;"&amp;'Tracking Log'!#REF!),""),1),COUNTIF('Tracking Log'!#REF!,"&lt;"&amp;'Tracking Log'!#REF!),0)),"")</f>
        <v/>
      </c>
    </row>
    <row r="64" spans="1:1" x14ac:dyDescent="0.3">
      <c r="A64" t="str" cm="1">
        <f t="array" ref="A64">IFERROR(INDEX('Tracking Log'!#REF!,MATCH(SMALL(IF((COUNTIF($A$1:A63,'Tracking Log'!#REF!)=0)*('Tracking Log'!#REF!&lt;&gt;""),COUNTIF('Tracking Log'!#REF!,"&lt;"&amp;'Tracking Log'!#REF!),""),1),COUNTIF('Tracking Log'!#REF!,"&lt;"&amp;'Tracking Log'!#REF!),0)),"")</f>
        <v/>
      </c>
    </row>
    <row r="65" spans="1:1" x14ac:dyDescent="0.3">
      <c r="A65" t="str" cm="1">
        <f t="array" ref="A65">IFERROR(INDEX('Tracking Log'!#REF!,MATCH(SMALL(IF((COUNTIF($A$1:A64,'Tracking Log'!#REF!)=0)*('Tracking Log'!#REF!&lt;&gt;""),COUNTIF('Tracking Log'!#REF!,"&lt;"&amp;'Tracking Log'!#REF!),""),1),COUNTIF('Tracking Log'!#REF!,"&lt;"&amp;'Tracking Log'!#REF!),0)),"")</f>
        <v/>
      </c>
    </row>
    <row r="66" spans="1:1" x14ac:dyDescent="0.3">
      <c r="A66" t="str" cm="1">
        <f t="array" ref="A66">IFERROR(INDEX('Tracking Log'!#REF!,MATCH(SMALL(IF((COUNTIF($A$1:A65,'Tracking Log'!#REF!)=0)*('Tracking Log'!#REF!&lt;&gt;""),COUNTIF('Tracking Log'!#REF!,"&lt;"&amp;'Tracking Log'!#REF!),""),1),COUNTIF('Tracking Log'!#REF!,"&lt;"&amp;'Tracking Log'!#REF!),0)),"")</f>
        <v/>
      </c>
    </row>
    <row r="67" spans="1:1" x14ac:dyDescent="0.3">
      <c r="A67" t="str" cm="1">
        <f t="array" ref="A67">IFERROR(INDEX('Tracking Log'!#REF!,MATCH(SMALL(IF((COUNTIF($A$1:A66,'Tracking Log'!#REF!)=0)*('Tracking Log'!#REF!&lt;&gt;""),COUNTIF('Tracking Log'!#REF!,"&lt;"&amp;'Tracking Log'!#REF!),""),1),COUNTIF('Tracking Log'!#REF!,"&lt;"&amp;'Tracking Log'!#REF!),0)),"")</f>
        <v/>
      </c>
    </row>
    <row r="68" spans="1:1" x14ac:dyDescent="0.3">
      <c r="A68" t="str" cm="1">
        <f t="array" ref="A68">IFERROR(INDEX('Tracking Log'!#REF!,MATCH(SMALL(IF((COUNTIF($A$1:A67,'Tracking Log'!#REF!)=0)*('Tracking Log'!#REF!&lt;&gt;""),COUNTIF('Tracking Log'!#REF!,"&lt;"&amp;'Tracking Log'!#REF!),""),1),COUNTIF('Tracking Log'!#REF!,"&lt;"&amp;'Tracking Log'!#REF!),0)),"")</f>
        <v/>
      </c>
    </row>
    <row r="69" spans="1:1" x14ac:dyDescent="0.3">
      <c r="A69" t="str" cm="1">
        <f t="array" ref="A69">IFERROR(INDEX('Tracking Log'!#REF!,MATCH(SMALL(IF((COUNTIF($A$1:A68,'Tracking Log'!#REF!)=0)*('Tracking Log'!#REF!&lt;&gt;""),COUNTIF('Tracking Log'!#REF!,"&lt;"&amp;'Tracking Log'!#REF!),""),1),COUNTIF('Tracking Log'!#REF!,"&lt;"&amp;'Tracking Log'!#REF!),0)),"")</f>
        <v/>
      </c>
    </row>
    <row r="70" spans="1:1" x14ac:dyDescent="0.3">
      <c r="A70" t="str" cm="1">
        <f t="array" ref="A70">IFERROR(INDEX('Tracking Log'!#REF!,MATCH(SMALL(IF((COUNTIF($A$1:A69,'Tracking Log'!#REF!)=0)*('Tracking Log'!#REF!&lt;&gt;""),COUNTIF('Tracking Log'!#REF!,"&lt;"&amp;'Tracking Log'!#REF!),""),1),COUNTIF('Tracking Log'!#REF!,"&lt;"&amp;'Tracking Log'!#REF!),0)),"")</f>
        <v/>
      </c>
    </row>
    <row r="71" spans="1:1" x14ac:dyDescent="0.3">
      <c r="A71" t="str" cm="1">
        <f t="array" ref="A71">IFERROR(INDEX('Tracking Log'!#REF!,MATCH(SMALL(IF((COUNTIF($A$1:A70,'Tracking Log'!#REF!)=0)*('Tracking Log'!#REF!&lt;&gt;""),COUNTIF('Tracking Log'!#REF!,"&lt;"&amp;'Tracking Log'!#REF!),""),1),COUNTIF('Tracking Log'!#REF!,"&lt;"&amp;'Tracking Log'!#REF!),0)),"")</f>
        <v/>
      </c>
    </row>
    <row r="72" spans="1:1" x14ac:dyDescent="0.3">
      <c r="A72" t="str" cm="1">
        <f t="array" ref="A72">IFERROR(INDEX('Tracking Log'!#REF!,MATCH(SMALL(IF((COUNTIF($A$1:A71,'Tracking Log'!#REF!)=0)*('Tracking Log'!#REF!&lt;&gt;""),COUNTIF('Tracking Log'!#REF!,"&lt;"&amp;'Tracking Log'!#REF!),""),1),COUNTIF('Tracking Log'!#REF!,"&lt;"&amp;'Tracking Log'!#REF!),0)),"")</f>
        <v/>
      </c>
    </row>
    <row r="73" spans="1:1" x14ac:dyDescent="0.3">
      <c r="A73" t="str" cm="1">
        <f t="array" ref="A73">IFERROR(INDEX('Tracking Log'!#REF!,MATCH(SMALL(IF((COUNTIF($A$1:A72,'Tracking Log'!#REF!)=0)*('Tracking Log'!#REF!&lt;&gt;""),COUNTIF('Tracking Log'!#REF!,"&lt;"&amp;'Tracking Log'!#REF!),""),1),COUNTIF('Tracking Log'!#REF!,"&lt;"&amp;'Tracking Log'!#REF!),0)),"")</f>
        <v/>
      </c>
    </row>
    <row r="74" spans="1:1" x14ac:dyDescent="0.3">
      <c r="A74" t="str" cm="1">
        <f t="array" ref="A74">IFERROR(INDEX('Tracking Log'!#REF!,MATCH(SMALL(IF((COUNTIF($A$1:A73,'Tracking Log'!#REF!)=0)*('Tracking Log'!#REF!&lt;&gt;""),COUNTIF('Tracking Log'!#REF!,"&lt;"&amp;'Tracking Log'!#REF!),""),1),COUNTIF('Tracking Log'!#REF!,"&lt;"&amp;'Tracking Log'!#REF!),0)),"")</f>
        <v/>
      </c>
    </row>
    <row r="75" spans="1:1" x14ac:dyDescent="0.3">
      <c r="A75" t="str" cm="1">
        <f t="array" ref="A75">IFERROR(INDEX('Tracking Log'!#REF!,MATCH(SMALL(IF((COUNTIF($A$1:A74,'Tracking Log'!#REF!)=0)*('Tracking Log'!#REF!&lt;&gt;""),COUNTIF('Tracking Log'!#REF!,"&lt;"&amp;'Tracking Log'!#REF!),""),1),COUNTIF('Tracking Log'!#REF!,"&lt;"&amp;'Tracking Log'!#REF!),0)),"")</f>
        <v/>
      </c>
    </row>
    <row r="76" spans="1:1" x14ac:dyDescent="0.3">
      <c r="A76" t="str" cm="1">
        <f t="array" ref="A76">IFERROR(INDEX('Tracking Log'!#REF!,MATCH(SMALL(IF((COUNTIF($A$1:A75,'Tracking Log'!#REF!)=0)*('Tracking Log'!#REF!&lt;&gt;""),COUNTIF('Tracking Log'!#REF!,"&lt;"&amp;'Tracking Log'!#REF!),""),1),COUNTIF('Tracking Log'!#REF!,"&lt;"&amp;'Tracking Log'!#REF!),0)),"")</f>
        <v/>
      </c>
    </row>
    <row r="77" spans="1:1" x14ac:dyDescent="0.3">
      <c r="A77" t="str" cm="1">
        <f t="array" ref="A77">IFERROR(INDEX('Tracking Log'!#REF!,MATCH(SMALL(IF((COUNTIF($A$1:A76,'Tracking Log'!#REF!)=0)*('Tracking Log'!#REF!&lt;&gt;""),COUNTIF('Tracking Log'!#REF!,"&lt;"&amp;'Tracking Log'!#REF!),""),1),COUNTIF('Tracking Log'!#REF!,"&lt;"&amp;'Tracking Log'!#REF!),0)),"")</f>
        <v/>
      </c>
    </row>
    <row r="78" spans="1:1" x14ac:dyDescent="0.3">
      <c r="A78" t="str" cm="1">
        <f t="array" ref="A78">IFERROR(INDEX('Tracking Log'!#REF!,MATCH(SMALL(IF((COUNTIF($A$1:A77,'Tracking Log'!#REF!)=0)*('Tracking Log'!#REF!&lt;&gt;""),COUNTIF('Tracking Log'!#REF!,"&lt;"&amp;'Tracking Log'!#REF!),""),1),COUNTIF('Tracking Log'!#REF!,"&lt;"&amp;'Tracking Log'!#REF!),0)),"")</f>
        <v/>
      </c>
    </row>
    <row r="79" spans="1:1" x14ac:dyDescent="0.3">
      <c r="A79" t="str" cm="1">
        <f t="array" ref="A79">IFERROR(INDEX('Tracking Log'!#REF!,MATCH(SMALL(IF((COUNTIF($A$1:A78,'Tracking Log'!#REF!)=0)*('Tracking Log'!#REF!&lt;&gt;""),COUNTIF('Tracking Log'!#REF!,"&lt;"&amp;'Tracking Log'!#REF!),""),1),COUNTIF('Tracking Log'!#REF!,"&lt;"&amp;'Tracking Log'!#REF!),0)),"")</f>
        <v/>
      </c>
    </row>
    <row r="80" spans="1:1" x14ac:dyDescent="0.3">
      <c r="A80" t="str" cm="1">
        <f t="array" ref="A80">IFERROR(INDEX('Tracking Log'!#REF!,MATCH(SMALL(IF((COUNTIF($A$1:A79,'Tracking Log'!#REF!)=0)*('Tracking Log'!#REF!&lt;&gt;""),COUNTIF('Tracking Log'!#REF!,"&lt;"&amp;'Tracking Log'!#REF!),""),1),COUNTIF('Tracking Log'!#REF!,"&lt;"&amp;'Tracking Log'!#REF!),0)),"")</f>
        <v/>
      </c>
    </row>
    <row r="81" spans="1:1" x14ac:dyDescent="0.3">
      <c r="A81" t="str" cm="1">
        <f t="array" ref="A81">IFERROR(INDEX('Tracking Log'!#REF!,MATCH(SMALL(IF((COUNTIF($A$1:A80,'Tracking Log'!#REF!)=0)*('Tracking Log'!#REF!&lt;&gt;""),COUNTIF('Tracking Log'!#REF!,"&lt;"&amp;'Tracking Log'!#REF!),""),1),COUNTIF('Tracking Log'!#REF!,"&lt;"&amp;'Tracking Log'!#REF!),0)),"")</f>
        <v/>
      </c>
    </row>
    <row r="82" spans="1:1" x14ac:dyDescent="0.3">
      <c r="A82" t="str" cm="1">
        <f t="array" ref="A82">IFERROR(INDEX('Tracking Log'!#REF!,MATCH(SMALL(IF((COUNTIF($A$1:A81,'Tracking Log'!#REF!)=0)*('Tracking Log'!#REF!&lt;&gt;""),COUNTIF('Tracking Log'!#REF!,"&lt;"&amp;'Tracking Log'!#REF!),""),1),COUNTIF('Tracking Log'!#REF!,"&lt;"&amp;'Tracking Log'!#REF!),0)),"")</f>
        <v/>
      </c>
    </row>
    <row r="83" spans="1:1" x14ac:dyDescent="0.3">
      <c r="A83" t="str" cm="1">
        <f t="array" ref="A83">IFERROR(INDEX('Tracking Log'!#REF!,MATCH(SMALL(IF((COUNTIF($A$1:A82,'Tracking Log'!#REF!)=0)*('Tracking Log'!#REF!&lt;&gt;""),COUNTIF('Tracking Log'!#REF!,"&lt;"&amp;'Tracking Log'!#REF!),""),1),COUNTIF('Tracking Log'!#REF!,"&lt;"&amp;'Tracking Log'!#REF!),0)),"")</f>
        <v/>
      </c>
    </row>
    <row r="84" spans="1:1" x14ac:dyDescent="0.3">
      <c r="A84" t="str" cm="1">
        <f t="array" ref="A84">IFERROR(INDEX('Tracking Log'!#REF!,MATCH(SMALL(IF((COUNTIF($A$1:A83,'Tracking Log'!#REF!)=0)*('Tracking Log'!#REF!&lt;&gt;""),COUNTIF('Tracking Log'!#REF!,"&lt;"&amp;'Tracking Log'!#REF!),""),1),COUNTIF('Tracking Log'!#REF!,"&lt;"&amp;'Tracking Log'!#REF!),0)),"")</f>
        <v/>
      </c>
    </row>
    <row r="85" spans="1:1" x14ac:dyDescent="0.3">
      <c r="A85" t="str" cm="1">
        <f t="array" ref="A85">IFERROR(INDEX('Tracking Log'!#REF!,MATCH(SMALL(IF((COUNTIF($A$1:A84,'Tracking Log'!#REF!)=0)*('Tracking Log'!#REF!&lt;&gt;""),COUNTIF('Tracking Log'!#REF!,"&lt;"&amp;'Tracking Log'!#REF!),""),1),COUNTIF('Tracking Log'!#REF!,"&lt;"&amp;'Tracking Log'!#REF!),0)),"")</f>
        <v/>
      </c>
    </row>
    <row r="86" spans="1:1" x14ac:dyDescent="0.3">
      <c r="A86" t="str" cm="1">
        <f t="array" ref="A86">IFERROR(INDEX('Tracking Log'!#REF!,MATCH(SMALL(IF((COUNTIF($A$1:A85,'Tracking Log'!#REF!)=0)*('Tracking Log'!#REF!&lt;&gt;""),COUNTIF('Tracking Log'!#REF!,"&lt;"&amp;'Tracking Log'!#REF!),""),1),COUNTIF('Tracking Log'!#REF!,"&lt;"&amp;'Tracking Log'!#REF!),0)),"")</f>
        <v/>
      </c>
    </row>
    <row r="87" spans="1:1" x14ac:dyDescent="0.3">
      <c r="A87" t="str" cm="1">
        <f t="array" ref="A87">IFERROR(INDEX('Tracking Log'!#REF!,MATCH(SMALL(IF((COUNTIF($A$1:A86,'Tracking Log'!#REF!)=0)*('Tracking Log'!#REF!&lt;&gt;""),COUNTIF('Tracking Log'!#REF!,"&lt;"&amp;'Tracking Log'!#REF!),""),1),COUNTIF('Tracking Log'!#REF!,"&lt;"&amp;'Tracking Log'!#REF!),0)),"")</f>
        <v/>
      </c>
    </row>
    <row r="88" spans="1:1" x14ac:dyDescent="0.3">
      <c r="A88" t="str" cm="1">
        <f t="array" ref="A88">IFERROR(INDEX('Tracking Log'!#REF!,MATCH(SMALL(IF((COUNTIF($A$1:A87,'Tracking Log'!#REF!)=0)*('Tracking Log'!#REF!&lt;&gt;""),COUNTIF('Tracking Log'!#REF!,"&lt;"&amp;'Tracking Log'!#REF!),""),1),COUNTIF('Tracking Log'!#REF!,"&lt;"&amp;'Tracking Log'!#REF!),0)),"")</f>
        <v/>
      </c>
    </row>
    <row r="89" spans="1:1" x14ac:dyDescent="0.3">
      <c r="A89" t="str" cm="1">
        <f t="array" ref="A89">IFERROR(INDEX('Tracking Log'!#REF!,MATCH(SMALL(IF((COUNTIF($A$1:A88,'Tracking Log'!#REF!)=0)*('Tracking Log'!#REF!&lt;&gt;""),COUNTIF('Tracking Log'!#REF!,"&lt;"&amp;'Tracking Log'!#REF!),""),1),COUNTIF('Tracking Log'!#REF!,"&lt;"&amp;'Tracking Log'!#REF!),0)),"")</f>
        <v/>
      </c>
    </row>
    <row r="90" spans="1:1" x14ac:dyDescent="0.3">
      <c r="A90" t="str" cm="1">
        <f t="array" ref="A90">IFERROR(INDEX('Tracking Log'!#REF!,MATCH(SMALL(IF((COUNTIF($A$1:A89,'Tracking Log'!#REF!)=0)*('Tracking Log'!#REF!&lt;&gt;""),COUNTIF('Tracking Log'!#REF!,"&lt;"&amp;'Tracking Log'!#REF!),""),1),COUNTIF('Tracking Log'!#REF!,"&lt;"&amp;'Tracking Log'!#REF!),0)),"")</f>
        <v/>
      </c>
    </row>
    <row r="91" spans="1:1" x14ac:dyDescent="0.3">
      <c r="A91" t="str" cm="1">
        <f t="array" ref="A91">IFERROR(INDEX('Tracking Log'!#REF!,MATCH(SMALL(IF((COUNTIF($A$1:A90,'Tracking Log'!#REF!)=0)*('Tracking Log'!#REF!&lt;&gt;""),COUNTIF('Tracking Log'!#REF!,"&lt;"&amp;'Tracking Log'!#REF!),""),1),COUNTIF('Tracking Log'!#REF!,"&lt;"&amp;'Tracking Log'!#REF!),0)),"")</f>
        <v/>
      </c>
    </row>
    <row r="92" spans="1:1" x14ac:dyDescent="0.3">
      <c r="A92" t="str" cm="1">
        <f t="array" ref="A92">IFERROR(INDEX('Tracking Log'!#REF!,MATCH(SMALL(IF((COUNTIF($A$1:A91,'Tracking Log'!#REF!)=0)*('Tracking Log'!#REF!&lt;&gt;""),COUNTIF('Tracking Log'!#REF!,"&lt;"&amp;'Tracking Log'!#REF!),""),1),COUNTIF('Tracking Log'!#REF!,"&lt;"&amp;'Tracking Log'!#REF!),0)),"")</f>
        <v/>
      </c>
    </row>
    <row r="93" spans="1:1" x14ac:dyDescent="0.3">
      <c r="A93" t="str" cm="1">
        <f t="array" ref="A93">IFERROR(INDEX('Tracking Log'!#REF!,MATCH(SMALL(IF((COUNTIF($A$1:A92,'Tracking Log'!#REF!)=0)*('Tracking Log'!#REF!&lt;&gt;""),COUNTIF('Tracking Log'!#REF!,"&lt;"&amp;'Tracking Log'!#REF!),""),1),COUNTIF('Tracking Log'!#REF!,"&lt;"&amp;'Tracking Log'!#REF!),0)),"")</f>
        <v/>
      </c>
    </row>
    <row r="94" spans="1:1" x14ac:dyDescent="0.3">
      <c r="A94" t="str" cm="1">
        <f t="array" ref="A94">IFERROR(INDEX('Tracking Log'!#REF!,MATCH(SMALL(IF((COUNTIF($A$1:A93,'Tracking Log'!#REF!)=0)*('Tracking Log'!#REF!&lt;&gt;""),COUNTIF('Tracking Log'!#REF!,"&lt;"&amp;'Tracking Log'!#REF!),""),1),COUNTIF('Tracking Log'!#REF!,"&lt;"&amp;'Tracking Log'!#REF!),0)),"")</f>
        <v/>
      </c>
    </row>
    <row r="95" spans="1:1" x14ac:dyDescent="0.3">
      <c r="A95" t="str" cm="1">
        <f t="array" ref="A95">IFERROR(INDEX('Tracking Log'!#REF!,MATCH(SMALL(IF((COUNTIF($A$1:A94,'Tracking Log'!#REF!)=0)*('Tracking Log'!#REF!&lt;&gt;""),COUNTIF('Tracking Log'!#REF!,"&lt;"&amp;'Tracking Log'!#REF!),""),1),COUNTIF('Tracking Log'!#REF!,"&lt;"&amp;'Tracking Log'!#REF!),0)),"")</f>
        <v/>
      </c>
    </row>
    <row r="96" spans="1:1" x14ac:dyDescent="0.3">
      <c r="A96" t="str" cm="1">
        <f t="array" ref="A96">IFERROR(INDEX('Tracking Log'!#REF!,MATCH(SMALL(IF((COUNTIF($A$1:A95,'Tracking Log'!#REF!)=0)*('Tracking Log'!#REF!&lt;&gt;""),COUNTIF('Tracking Log'!#REF!,"&lt;"&amp;'Tracking Log'!#REF!),""),1),COUNTIF('Tracking Log'!#REF!,"&lt;"&amp;'Tracking Log'!#REF!),0)),"")</f>
        <v/>
      </c>
    </row>
    <row r="97" spans="1:1" x14ac:dyDescent="0.3">
      <c r="A97" t="str" cm="1">
        <f t="array" ref="A97">IFERROR(INDEX('Tracking Log'!#REF!,MATCH(SMALL(IF((COUNTIF($A$1:A96,'Tracking Log'!#REF!)=0)*('Tracking Log'!#REF!&lt;&gt;""),COUNTIF('Tracking Log'!#REF!,"&lt;"&amp;'Tracking Log'!#REF!),""),1),COUNTIF('Tracking Log'!#REF!,"&lt;"&amp;'Tracking Log'!#REF!),0)),"")</f>
        <v/>
      </c>
    </row>
    <row r="98" spans="1:1" x14ac:dyDescent="0.3">
      <c r="A98" t="str" cm="1">
        <f t="array" ref="A98">IFERROR(INDEX('Tracking Log'!#REF!,MATCH(SMALL(IF((COUNTIF($A$1:A97,'Tracking Log'!#REF!)=0)*('Tracking Log'!#REF!&lt;&gt;""),COUNTIF('Tracking Log'!#REF!,"&lt;"&amp;'Tracking Log'!#REF!),""),1),COUNTIF('Tracking Log'!#REF!,"&lt;"&amp;'Tracking Log'!#REF!),0)),"")</f>
        <v/>
      </c>
    </row>
    <row r="99" spans="1:1" x14ac:dyDescent="0.3">
      <c r="A99" t="str" cm="1">
        <f t="array" ref="A99">IFERROR(INDEX('Tracking Log'!#REF!,MATCH(SMALL(IF((COUNTIF($A$1:A98,'Tracking Log'!#REF!)=0)*('Tracking Log'!#REF!&lt;&gt;""),COUNTIF('Tracking Log'!#REF!,"&lt;"&amp;'Tracking Log'!#REF!),""),1),COUNTIF('Tracking Log'!#REF!,"&lt;"&amp;'Tracking Log'!#REF!),0)),"")</f>
        <v/>
      </c>
    </row>
    <row r="100" spans="1:1" x14ac:dyDescent="0.3">
      <c r="A100" t="str" cm="1">
        <f t="array" ref="A100">IFERROR(INDEX('Tracking Log'!#REF!,MATCH(SMALL(IF((COUNTIF($A$1:A99,'Tracking Log'!#REF!)=0)*('Tracking Log'!#REF!&lt;&gt;""),COUNTIF('Tracking Log'!#REF!,"&lt;"&amp;'Tracking Log'!#REF!),""),1),COUNTIF('Tracking Log'!#REF!,"&lt;"&amp;'Tracking Log'!#REF!),0)),"")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Tracking Log</vt:lpstr>
      <vt:lpstr>Attorney</vt:lpstr>
      <vt:lpstr>Misc Income Non Homeowner</vt:lpstr>
      <vt:lpstr>Misc Income Homeowner</vt:lpstr>
      <vt:lpstr>HO LockBox</vt:lpstr>
      <vt:lpstr>Standard Charge Types</vt:lpstr>
      <vt:lpstr>Attorney!Print_Area</vt:lpstr>
      <vt:lpstr>'HO LockBox'!Print_Area</vt:lpstr>
      <vt:lpstr>'Misc Income Homeowner'!Print_Area</vt:lpstr>
      <vt:lpstr>'Misc Income Non Homeowner'!Print_Area</vt:lpstr>
      <vt:lpstr>'Tracking Log'!Print_Area</vt:lpstr>
      <vt:lpstr>Type</vt:lpstr>
    </vt:vector>
  </TitlesOfParts>
  <Company>Associa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Papakonstantinou</dc:creator>
  <cp:lastModifiedBy>Jay Vickrey</cp:lastModifiedBy>
  <cp:lastPrinted>2023-06-25T00:40:00Z</cp:lastPrinted>
  <dcterms:created xsi:type="dcterms:W3CDTF">2017-04-26T19:45:51Z</dcterms:created>
  <dcterms:modified xsi:type="dcterms:W3CDTF">2025-09-09T03:29:17Z</dcterms:modified>
</cp:coreProperties>
</file>